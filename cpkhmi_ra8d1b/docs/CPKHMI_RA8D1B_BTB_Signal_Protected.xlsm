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/>
  <workbookPr/>
  <mc:AlternateContent xmlns:mc="http://schemas.openxmlformats.org/markup-compatibility/2006">
    <mc:Choice Requires="x15">
      <x15ac:absPath xmlns:x15ac="http://schemas.microsoft.com/office/spreadsheetml/2010/11/ac" url="https://renesasgroup-my.sharepoint.com/personal/craig_wu_wx_renesas_com/Documents/2024/_Working/2024_CPKRA8x1/__Release/CPKHMI-RA8D1B/Docs/"/>
    </mc:Choice>
  </mc:AlternateContent>
  <xr:revisionPtr revIDLastSave="19" documentId="8_{254C4470-8BFB-49A4-8202-19CFED8FF5AA}" xr6:coauthVersionLast="47" xr6:coauthVersionMax="47" xr10:uidLastSave="{4C88F04C-52EA-4363-A67A-39A8235CF3D8}"/>
  <bookViews>
    <workbookView xWindow="-120" yWindow="-120" windowWidth="29040" windowHeight="15840" xr2:uid="{00000000-000D-0000-FFFF-FFFF00000000}"/>
  </bookViews>
  <sheets>
    <sheet name="BoardBTB" sheetId="5" r:id="rId1"/>
    <sheet name="_Board" sheetId="6" r:id="rId2"/>
  </sheets>
  <definedNames>
    <definedName name="_xlnm._FilterDatabase" localSheetId="1" hidden="1">_Board!$Q$20:$BD$128</definedName>
    <definedName name="_xlnm._FilterDatabase" localSheetId="0" hidden="1">BoardBTB!$A$20:$BD$140</definedName>
    <definedName name="GetPin_RA8D1_32SD_MIPI" localSheetId="1">CHOOSE(MATCH((GET.CELL(63,BoardBTB!A1)+RAND()*0),{50,42,36,0},0),4,2,1,0)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5" l="1"/>
  <c r="B19" i="5"/>
  <c r="S101" i="6" l="1"/>
  <c r="S63" i="6"/>
  <c r="R99" i="6"/>
  <c r="S41" i="6"/>
  <c r="R37" i="6"/>
  <c r="Q97" i="6"/>
  <c r="Q103" i="6"/>
  <c r="S75" i="6"/>
  <c r="R74" i="6"/>
  <c r="Q31" i="6"/>
  <c r="Q123" i="6"/>
  <c r="Q33" i="6"/>
  <c r="Q88" i="6"/>
  <c r="S47" i="6"/>
  <c r="S76" i="6"/>
  <c r="Q101" i="6"/>
  <c r="Q73" i="6"/>
  <c r="S39" i="6"/>
  <c r="Q41" i="6"/>
  <c r="Q71" i="6"/>
  <c r="R103" i="6"/>
  <c r="Q75" i="6"/>
  <c r="Q30" i="6"/>
  <c r="S74" i="6"/>
  <c r="R125" i="6"/>
  <c r="R35" i="6"/>
  <c r="S46" i="6"/>
  <c r="S38" i="6"/>
  <c r="Q121" i="6"/>
  <c r="Q47" i="6"/>
  <c r="Q128" i="6"/>
  <c r="R76" i="6"/>
  <c r="Q90" i="6"/>
  <c r="R73" i="6"/>
  <c r="R70" i="6"/>
  <c r="R39" i="6"/>
  <c r="R71" i="6"/>
  <c r="Q29" i="6"/>
  <c r="Q98" i="6"/>
  <c r="Q74" i="6"/>
  <c r="Q125" i="6"/>
  <c r="Q35" i="6"/>
  <c r="Q46" i="6"/>
  <c r="R38" i="6"/>
  <c r="Q110" i="6"/>
  <c r="Q49" i="6"/>
  <c r="R96" i="6"/>
  <c r="Q76" i="6"/>
  <c r="R90" i="6"/>
  <c r="R127" i="6"/>
  <c r="Q70" i="6"/>
  <c r="Q39" i="6"/>
  <c r="Q124" i="6"/>
  <c r="S81" i="6"/>
  <c r="S44" i="6"/>
  <c r="R98" i="6"/>
  <c r="S125" i="6"/>
  <c r="S43" i="6"/>
  <c r="Q50" i="6"/>
  <c r="Q38" i="6"/>
  <c r="S110" i="6"/>
  <c r="R36" i="6"/>
  <c r="Q32" i="6"/>
  <c r="Q96" i="6"/>
  <c r="Q112" i="6"/>
  <c r="S90" i="6"/>
  <c r="Q48" i="6"/>
  <c r="Q127" i="6"/>
  <c r="Q100" i="6"/>
  <c r="S102" i="6"/>
  <c r="S86" i="6"/>
  <c r="S45" i="6"/>
  <c r="Q81" i="6"/>
  <c r="R44" i="6"/>
  <c r="R40" i="6"/>
  <c r="R43" i="6"/>
  <c r="Q95" i="6"/>
  <c r="S42" i="6"/>
  <c r="Q72" i="6"/>
  <c r="R110" i="6"/>
  <c r="Q36" i="6"/>
  <c r="R34" i="6"/>
  <c r="Q122" i="6"/>
  <c r="Q28" i="6"/>
  <c r="S48" i="6"/>
  <c r="S127" i="6"/>
  <c r="R100" i="6"/>
  <c r="Q102" i="6"/>
  <c r="R86" i="6"/>
  <c r="R45" i="6"/>
  <c r="Q89" i="6"/>
  <c r="Q44" i="6"/>
  <c r="Q40" i="6"/>
  <c r="Q43" i="6"/>
  <c r="R95" i="6"/>
  <c r="R42" i="6"/>
  <c r="R72" i="6"/>
  <c r="S85" i="6"/>
  <c r="Q87" i="6"/>
  <c r="Q34" i="6"/>
  <c r="Q63" i="6"/>
  <c r="Q68" i="6"/>
  <c r="R102" i="6"/>
  <c r="Q37" i="6"/>
  <c r="Q86" i="6"/>
  <c r="Q45" i="6"/>
  <c r="S89" i="6"/>
  <c r="Q126" i="6"/>
  <c r="S123" i="6"/>
  <c r="Q111" i="6"/>
  <c r="Q42" i="6"/>
  <c r="R85" i="6"/>
  <c r="R87" i="6"/>
  <c r="R101" i="6"/>
  <c r="R63" i="6"/>
  <c r="Q99" i="6"/>
  <c r="R41" i="6"/>
  <c r="S37" i="6"/>
  <c r="R97" i="6"/>
  <c r="S103" i="6"/>
  <c r="R89" i="6"/>
  <c r="Q69" i="6"/>
  <c r="R123" i="6"/>
  <c r="Q66" i="6"/>
  <c r="R88" i="6"/>
  <c r="Q85" i="6"/>
  <c r="S87" i="6"/>
  <c r="S115" i="6" l="1"/>
  <c r="R75" i="6"/>
  <c r="S100" i="6"/>
  <c r="S95" i="6"/>
  <c r="S24" i="6"/>
  <c r="R46" i="6"/>
  <c r="S91" i="6"/>
  <c r="R122" i="6"/>
  <c r="S104" i="6"/>
  <c r="S36" i="6"/>
  <c r="R31" i="6"/>
  <c r="S66" i="6"/>
  <c r="R22" i="6"/>
  <c r="R26" i="6"/>
  <c r="S68" i="6"/>
  <c r="R113" i="6"/>
  <c r="S78" i="6"/>
  <c r="R82" i="6"/>
  <c r="S60" i="6"/>
  <c r="Q67" i="6"/>
  <c r="S53" i="6"/>
  <c r="R68" i="6"/>
  <c r="R108" i="6"/>
  <c r="R116" i="6"/>
  <c r="Q104" i="6"/>
  <c r="R104" i="6"/>
  <c r="Q51" i="6"/>
  <c r="S30" i="6"/>
  <c r="Q119" i="6"/>
  <c r="Q115" i="6"/>
  <c r="R115" i="6"/>
  <c r="S23" i="6"/>
  <c r="R117" i="6"/>
  <c r="S117" i="6"/>
  <c r="Q117" i="6"/>
  <c r="R107" i="6"/>
  <c r="S97" i="6"/>
  <c r="R58" i="6"/>
  <c r="R128" i="6"/>
  <c r="S128" i="6"/>
  <c r="R92" i="6"/>
  <c r="S64" i="6"/>
  <c r="S73" i="6"/>
  <c r="S113" i="6"/>
  <c r="Q83" i="6"/>
  <c r="R94" i="6"/>
  <c r="Q118" i="6"/>
  <c r="Q54" i="6"/>
  <c r="S49" i="6"/>
  <c r="S61" i="6"/>
  <c r="Q27" i="6"/>
  <c r="Q57" i="6"/>
  <c r="R57" i="6"/>
  <c r="S106" i="6"/>
  <c r="S35" i="6"/>
  <c r="R84" i="6"/>
  <c r="S21" i="6"/>
  <c r="R105" i="6"/>
  <c r="S99" i="6"/>
  <c r="S57" i="6"/>
  <c r="S31" i="6"/>
  <c r="Q23" i="6"/>
  <c r="R32" i="6"/>
  <c r="R81" i="6"/>
  <c r="S122" i="6"/>
  <c r="R124" i="6"/>
  <c r="R47" i="6"/>
  <c r="S28" i="6"/>
  <c r="S70" i="6"/>
  <c r="Q22" i="6"/>
  <c r="S22" i="6"/>
  <c r="S59" i="6"/>
  <c r="S82" i="6"/>
  <c r="Q82" i="6"/>
  <c r="AW63" i="6" a="1"/>
  <c r="AE54" i="6" a="1"/>
  <c r="AY84" i="6" a="1"/>
  <c r="V98" i="6" a="1"/>
  <c r="AC41" i="6" a="1"/>
  <c r="AR82" i="6" a="1"/>
  <c r="AX26" i="6" a="1"/>
  <c r="AC85" i="6" a="1"/>
  <c r="AB61" i="6" a="1"/>
  <c r="AL78" i="6" a="1"/>
  <c r="AA88" i="6" a="1"/>
  <c r="AQ44" i="6" a="1"/>
  <c r="AR21" i="6" a="1"/>
  <c r="W89" i="6" a="1"/>
  <c r="BC67" i="6" a="1"/>
  <c r="AH91" i="6" a="1"/>
  <c r="AG41" i="6" a="1"/>
  <c r="U24" i="6" a="1"/>
  <c r="AJ40" i="6" a="1"/>
  <c r="V86" i="6" a="1"/>
  <c r="Z88" i="6" a="1"/>
  <c r="AB106" i="6" a="1"/>
  <c r="AY89" i="6" a="1"/>
  <c r="W38" i="6" a="1"/>
  <c r="AK24" i="6" a="1"/>
  <c r="AD106" i="6" a="1"/>
  <c r="U81" i="6" a="1"/>
  <c r="V49" i="6" a="1"/>
  <c r="AR26" i="6" a="1"/>
  <c r="AF57" i="6" a="1"/>
  <c r="AN77" i="6" a="1"/>
  <c r="AX33" i="6" a="1"/>
  <c r="AQ24" i="6" a="1"/>
  <c r="AK64" i="6" a="1"/>
  <c r="AQ85" i="6" a="1"/>
  <c r="Z54" i="6" a="1"/>
  <c r="X35" i="6" a="1"/>
  <c r="U25" i="6" a="1"/>
  <c r="AG38" i="6" a="1"/>
  <c r="AX91" i="6" a="1"/>
  <c r="AH105" i="6" a="1"/>
  <c r="AT33" i="6" a="1"/>
  <c r="AY81" i="6" a="1"/>
  <c r="U69" i="6" a="1"/>
  <c r="AS35" i="6" a="1"/>
  <c r="Y23" i="6" a="1"/>
  <c r="AO45" i="6" a="1"/>
  <c r="AM70" i="6" a="1"/>
  <c r="AB81" i="6" a="1"/>
  <c r="BC35" i="6" a="1"/>
  <c r="AZ76" i="6" a="1"/>
  <c r="AF52" i="6" a="1"/>
  <c r="U62" i="6" a="1"/>
  <c r="V35" i="6" a="1"/>
  <c r="AV41" i="6" a="1"/>
  <c r="AK128" i="6" a="1"/>
  <c r="AE123" i="6" a="1"/>
  <c r="AB109" i="6" a="1"/>
  <c r="Y71" i="6" a="1"/>
  <c r="AF103" i="6" a="1"/>
  <c r="AJ64" i="6" a="1"/>
  <c r="AO32" i="6" a="1"/>
  <c r="AX38" i="6" a="1"/>
  <c r="AC122" i="6" a="1"/>
  <c r="AX87" i="6" a="1"/>
  <c r="AW52" i="6" a="1"/>
  <c r="AU53" i="6" a="1"/>
  <c r="W55" i="6" a="1"/>
  <c r="X77" i="6" a="1"/>
  <c r="AU86" i="6" a="1"/>
  <c r="AC123" i="6" a="1"/>
  <c r="X32" i="6" a="1"/>
  <c r="AF53" i="6" a="1"/>
  <c r="BA26" i="6" a="1"/>
  <c r="AV76" i="6" a="1"/>
  <c r="X46" i="6" a="1"/>
  <c r="AZ110" i="6" a="1"/>
  <c r="AZ59" i="6" a="1"/>
  <c r="AE59" i="6" a="1"/>
  <c r="AA49" i="6" a="1"/>
  <c r="AQ80" i="6" a="1"/>
  <c r="AX112" i="6" a="1"/>
  <c r="AT111" i="6" a="1"/>
  <c r="X103" i="6" a="1"/>
  <c r="AF29" i="6" a="1"/>
  <c r="Y114" i="6" a="1"/>
  <c r="BB24" i="6" a="1"/>
  <c r="Z98" i="6" a="1"/>
  <c r="AU65" i="6" a="1"/>
  <c r="AT89" i="6" a="1"/>
  <c r="AJ122" i="6" a="1"/>
  <c r="AZ87" i="6" a="1"/>
  <c r="AU105" i="6" a="1"/>
  <c r="AS72" i="6" a="1"/>
  <c r="Z116" i="6" a="1"/>
  <c r="AQ22" i="6" a="1"/>
  <c r="AR22" i="6" a="1"/>
  <c r="AT29" i="6" a="1"/>
  <c r="AS52" i="6" a="1"/>
  <c r="AF24" i="6" a="1"/>
  <c r="Z92" i="6" a="1"/>
  <c r="AS36" i="6" a="1"/>
  <c r="Z96" i="6" a="1"/>
  <c r="AT110" i="6" a="1"/>
  <c r="AJ106" i="6" a="1"/>
  <c r="W31" i="6" a="1"/>
  <c r="W45" i="6" a="1"/>
  <c r="AI102" i="6" a="1"/>
  <c r="AF36" i="6" a="1"/>
  <c r="AL79" i="6" a="1"/>
  <c r="AD54" i="6" a="1"/>
  <c r="Y76" i="6" a="1"/>
  <c r="AC27" i="6" a="1"/>
  <c r="AP82" i="6" a="1"/>
  <c r="AL67" i="6" a="1"/>
  <c r="AX82" i="6" a="1"/>
  <c r="AY70" i="6" a="1"/>
  <c r="BB41" i="6" a="1"/>
  <c r="U118" i="6" a="1"/>
  <c r="BA33" i="6" a="1"/>
  <c r="AV92" i="6" a="1"/>
  <c r="BA115" i="6" a="1"/>
  <c r="AT79" i="6" a="1"/>
  <c r="AF121" i="6" a="1"/>
  <c r="AF72" i="6" a="1"/>
  <c r="AO33" i="6" a="1"/>
  <c r="AM76" i="6" a="1"/>
  <c r="BD52" i="6" a="1"/>
  <c r="AL120" i="6" a="1"/>
  <c r="Z52" i="6" a="1"/>
  <c r="AE78" i="6" a="1"/>
  <c r="AL89" i="6" a="1"/>
  <c r="AO83" i="6" a="1"/>
  <c r="AL53" i="6" a="1"/>
  <c r="BA73" i="6" a="1"/>
  <c r="V75" i="6" a="1"/>
  <c r="AT46" i="6" a="1"/>
  <c r="AD62" i="6" a="1"/>
  <c r="V30" i="6" a="1"/>
  <c r="W114" i="6" a="1"/>
  <c r="AA62" i="6" a="1"/>
  <c r="Z46" i="6" a="1"/>
  <c r="AD31" i="6" a="1"/>
  <c r="AA67" i="6" a="1"/>
  <c r="AC50" i="6" a="1"/>
  <c r="AM100" i="6" a="1"/>
  <c r="BC88" i="6" a="1"/>
  <c r="AR41" i="6" a="1"/>
  <c r="AL73" i="6" a="1"/>
  <c r="AZ66" i="6" a="1"/>
  <c r="AX55" i="6" a="1"/>
  <c r="BA24" i="6" a="1"/>
  <c r="AB24" i="6" a="1"/>
  <c r="X59" i="6" a="1"/>
  <c r="AA25" i="6" a="1"/>
  <c r="W77" i="6" a="1"/>
  <c r="AK97" i="6" a="1"/>
  <c r="AC39" i="6" a="1"/>
  <c r="W42" i="6" a="1"/>
  <c r="Y102" i="6" a="1"/>
  <c r="AW33" i="6" a="1"/>
  <c r="U94" i="6" a="1"/>
  <c r="AX34" i="6" a="1"/>
  <c r="AV67" i="6" a="1"/>
  <c r="AR100" i="6" a="1"/>
  <c r="AP50" i="6" a="1"/>
  <c r="AP69" i="6" a="1"/>
  <c r="AU27" i="6" a="1"/>
  <c r="AN80" i="6" a="1"/>
  <c r="AA34" i="6" a="1"/>
  <c r="AJ42" i="6" a="1"/>
  <c r="AV127" i="6" a="1"/>
  <c r="Z39" i="6" a="1"/>
  <c r="AQ25" i="6" a="1"/>
  <c r="U47" i="6" a="1"/>
  <c r="AD80" i="6" a="1"/>
  <c r="AJ35" i="6" a="1"/>
  <c r="Z128" i="6" a="1"/>
  <c r="AB51" i="6" a="1"/>
  <c r="V82" i="6" a="1"/>
  <c r="AL21" i="6" a="1"/>
  <c r="AT49" i="6" a="1"/>
  <c r="AI38" i="6" a="1"/>
  <c r="AC78" i="6" a="1"/>
  <c r="BA37" i="6" a="1"/>
  <c r="AS26" i="6" a="1"/>
  <c r="AA36" i="6" a="1"/>
  <c r="AZ113" i="6" a="1"/>
  <c r="BA123" i="6" a="1"/>
  <c r="BC74" i="6" a="1"/>
  <c r="AM83" i="6" a="1"/>
  <c r="AP28" i="6" a="1"/>
  <c r="AM114" i="6" a="1"/>
  <c r="AR24" i="6" a="1"/>
  <c r="AO44" i="6" a="1"/>
  <c r="BB92" i="6" a="1"/>
  <c r="AF87" i="6" a="1"/>
  <c r="AQ28" i="6" a="1"/>
  <c r="AG22" i="6" a="1"/>
  <c r="AY46" i="6" a="1"/>
  <c r="Y50" i="6" a="1"/>
  <c r="AF34" i="6" a="1"/>
  <c r="AY117" i="6" a="1"/>
  <c r="AD34" i="6" a="1"/>
  <c r="AE85" i="6" a="1"/>
  <c r="AB64" i="6" a="1"/>
  <c r="X68" i="6" a="1"/>
  <c r="Y48" i="6" a="1"/>
  <c r="AJ83" i="6" a="1"/>
  <c r="BC26" i="6" a="1"/>
  <c r="BD27" i="6" a="1"/>
  <c r="AY48" i="6" a="1"/>
  <c r="AM122" i="6" a="1"/>
  <c r="AV36" i="6" a="1"/>
  <c r="V106" i="6" a="1"/>
  <c r="AH52" i="6" a="1"/>
  <c r="AS37" i="6" a="1"/>
  <c r="AR28" i="6" a="1"/>
  <c r="AN26" i="6" a="1"/>
  <c r="Y56" i="6" a="1"/>
  <c r="AK110" i="6" a="1"/>
  <c r="W40" i="6" a="1"/>
  <c r="AU102" i="6" a="1"/>
  <c r="AD44" i="6" a="1"/>
  <c r="X88" i="6" a="1"/>
  <c r="BA58" i="6" a="1"/>
  <c r="AI106" i="6" a="1"/>
  <c r="BA39" i="6" a="1"/>
  <c r="W87" i="6" a="1"/>
  <c r="W83" i="6" a="1"/>
  <c r="W70" i="6" a="1"/>
  <c r="X40" i="6" a="1"/>
  <c r="AZ44" i="6" a="1"/>
  <c r="AM86" i="6" a="1"/>
  <c r="AW43" i="6" a="1"/>
  <c r="AQ29" i="6" a="1"/>
  <c r="Y126" i="6" a="1"/>
  <c r="V41" i="6" a="1"/>
  <c r="AG33" i="6" a="1"/>
  <c r="AP40" i="6" a="1"/>
  <c r="AN117" i="6" a="1"/>
  <c r="AB38" i="6" a="1"/>
  <c r="BA54" i="6" a="1"/>
  <c r="BD32" i="6" a="1"/>
  <c r="AG25" i="6" a="1"/>
  <c r="AO93" i="6" a="1"/>
  <c r="BD64" i="6" a="1"/>
  <c r="AD76" i="6" a="1"/>
  <c r="BC101" i="6" a="1"/>
  <c r="AJ36" i="6" a="1"/>
  <c r="AJ55" i="6" a="1"/>
  <c r="AH71" i="6" a="1"/>
  <c r="X98" i="6" a="1"/>
  <c r="AN105" i="6" a="1"/>
  <c r="AK32" i="6" a="1"/>
  <c r="AK127" i="6" a="1"/>
  <c r="AE115" i="6" a="1"/>
  <c r="AX111" i="6" a="1"/>
  <c r="AX75" i="6" a="1"/>
  <c r="AK88" i="6" a="1"/>
  <c r="U103" i="6" a="1"/>
  <c r="BD83" i="6" a="1"/>
  <c r="AY66" i="6" a="1"/>
  <c r="V34" i="6" a="1"/>
  <c r="AN38" i="6" a="1"/>
  <c r="AN94" i="6" a="1"/>
  <c r="AB66" i="6" a="1"/>
  <c r="W69" i="6" a="1"/>
  <c r="W44" i="6" a="1"/>
  <c r="AY39" i="6" a="1"/>
  <c r="AC105" i="6" a="1"/>
  <c r="AM72" i="6" a="1"/>
  <c r="AI83" i="6" a="1"/>
  <c r="AZ65" i="6" a="1"/>
  <c r="BC49" i="6" a="1"/>
  <c r="AW127" i="6" a="1"/>
  <c r="AD39" i="6" a="1"/>
  <c r="AV86" i="6" a="1"/>
  <c r="AO121" i="6" a="1"/>
  <c r="AM104" i="6" a="1"/>
  <c r="V96" i="6" a="1"/>
  <c r="AZ90" i="6" a="1"/>
  <c r="BA75" i="6" a="1"/>
  <c r="AB80" i="6" a="1"/>
  <c r="BD25" i="6" a="1"/>
  <c r="AL31" i="6" a="1"/>
  <c r="AM53" i="6" a="1"/>
  <c r="AT68" i="6" a="1"/>
  <c r="BA41" i="6" a="1"/>
  <c r="AU47" i="6" a="1"/>
  <c r="AH84" i="6" a="1"/>
  <c r="AG116" i="6" a="1"/>
  <c r="AB54" i="6" a="1"/>
  <c r="U80" i="6" a="1"/>
  <c r="AI63" i="6" a="1"/>
  <c r="AL34" i="6" a="1"/>
  <c r="AA102" i="6" a="1"/>
  <c r="AR39" i="6" a="1"/>
  <c r="Z27" i="6" a="1"/>
  <c r="BB117" i="6" a="1"/>
  <c r="AV22" i="6" a="1"/>
  <c r="AS24" i="6" a="1"/>
  <c r="AL101" i="6" a="1"/>
  <c r="AI54" i="6" a="1"/>
  <c r="AN54" i="6" a="1"/>
  <c r="BD55" i="6" a="1"/>
  <c r="BD49" i="6" a="1"/>
  <c r="BB28" i="6" a="1"/>
  <c r="AG34" i="6" a="1"/>
  <c r="Z31" i="6" a="1"/>
  <c r="BB39" i="6" a="1"/>
  <c r="AP26" i="6" a="1"/>
  <c r="AU60" i="6" a="1"/>
  <c r="AL36" i="6" a="1"/>
  <c r="AS83" i="6" a="1"/>
  <c r="AB37" i="6" a="1"/>
  <c r="AU71" i="6" a="1"/>
  <c r="AT62" i="6" a="1"/>
  <c r="AZ53" i="6" a="1"/>
  <c r="AU111" i="6" a="1"/>
  <c r="AR86" i="6" a="1"/>
  <c r="BA114" i="6" a="1"/>
  <c r="AK61" i="6" a="1"/>
  <c r="BA124" i="6" a="1"/>
  <c r="BD79" i="6" a="1"/>
  <c r="AC100" i="6" a="1"/>
  <c r="AZ108" i="6" a="1"/>
  <c r="AB36" i="6" a="1"/>
  <c r="BA34" i="6" a="1"/>
  <c r="AD41" i="6" a="1"/>
  <c r="Y67" i="6" a="1"/>
  <c r="AT36" i="6" a="1"/>
  <c r="AA94" i="6" a="1"/>
  <c r="AI73" i="6" a="1"/>
  <c r="AD75" i="6" a="1"/>
  <c r="AU87" i="6" a="1"/>
  <c r="AD96" i="6" a="1"/>
  <c r="W96" i="6" a="1"/>
  <c r="AB120" i="6" a="1"/>
  <c r="AO46" i="6" a="1"/>
  <c r="AS42" i="6" a="1"/>
  <c r="AJ21" i="6" a="1"/>
  <c r="AF78" i="6" a="1"/>
  <c r="AD103" i="6" a="1"/>
  <c r="AA41" i="6" a="1"/>
  <c r="BB54" i="6" a="1"/>
  <c r="BC53" i="6" a="1"/>
  <c r="AX73" i="6" a="1"/>
  <c r="AK51" i="6" a="1"/>
  <c r="AR77" i="6" a="1"/>
  <c r="AV71" i="6" a="1"/>
  <c r="AR45" i="6" a="1"/>
  <c r="AE93" i="6" a="1"/>
  <c r="AY100" i="6" a="1"/>
  <c r="AQ126" i="6" a="1"/>
  <c r="W78" i="6" a="1"/>
  <c r="AW86" i="6" a="1"/>
  <c r="AK84" i="6" a="1"/>
  <c r="AL22" i="6" a="1"/>
  <c r="AM69" i="6" a="1"/>
  <c r="W117" i="6" a="1"/>
  <c r="Y108" i="6" a="1"/>
  <c r="AB30" i="6" a="1"/>
  <c r="AW27" i="6" a="1"/>
  <c r="BA27" i="6" a="1"/>
  <c r="AF76" i="6" a="1"/>
  <c r="BD38" i="6" a="1"/>
  <c r="AY29" i="6" a="1"/>
  <c r="BB56" i="6" a="1"/>
  <c r="BD104" i="6" a="1"/>
  <c r="W33" i="6" a="1"/>
  <c r="AM107" i="6" a="1"/>
  <c r="AP86" i="6" a="1"/>
  <c r="AG23" i="6" a="1"/>
  <c r="AV82" i="6" a="1"/>
  <c r="BA111" i="6" a="1"/>
  <c r="AZ123" i="6" a="1"/>
  <c r="AO38" i="6" a="1"/>
  <c r="AC76" i="6" a="1"/>
  <c r="BA91" i="6" a="1"/>
  <c r="X92" i="6" a="1"/>
  <c r="AZ112" i="6" a="1"/>
  <c r="AS87" i="6" a="1"/>
  <c r="Z76" i="6" a="1"/>
  <c r="AV116" i="6" a="1"/>
  <c r="AO92" i="6" a="1"/>
  <c r="X115" i="6" a="1"/>
  <c r="AO41" i="6" a="1"/>
  <c r="AX32" i="6" a="1"/>
  <c r="AV113" i="6" a="1"/>
  <c r="AN56" i="6" a="1"/>
  <c r="AZ69" i="6" a="1"/>
  <c r="AF67" i="6" a="1"/>
  <c r="AV49" i="6" a="1"/>
  <c r="BB81" i="6" a="1"/>
  <c r="AW59" i="6" a="1"/>
  <c r="AE27" i="6" a="1"/>
  <c r="Z111" i="6" a="1"/>
  <c r="BB30" i="6" a="1"/>
  <c r="Z106" i="6" a="1"/>
  <c r="AN47" i="6" a="1"/>
  <c r="AQ121" i="6" a="1"/>
  <c r="AA68" i="6" a="1"/>
  <c r="AW37" i="6" a="1"/>
  <c r="AY62" i="6" a="1"/>
  <c r="AS88" i="6" a="1"/>
  <c r="AX95" i="6" a="1"/>
  <c r="AS60" i="6" a="1"/>
  <c r="AG110" i="6" a="1"/>
  <c r="AN31" i="6" a="1"/>
  <c r="X43" i="6" a="1"/>
  <c r="AM48" i="6" a="1"/>
  <c r="AI55" i="6" a="1"/>
  <c r="BC126" i="6" a="1"/>
  <c r="AO42" i="6" a="1"/>
  <c r="AO105" i="6" a="1"/>
  <c r="BD28" i="6" a="1"/>
  <c r="BC124" i="6" a="1"/>
  <c r="AV53" i="6" a="1"/>
  <c r="AD101" i="6" a="1"/>
  <c r="AE97" i="6" a="1"/>
  <c r="AK89" i="6" a="1"/>
  <c r="Z112" i="6" a="1"/>
  <c r="AO50" i="6" a="1"/>
  <c r="BD105" i="6" a="1"/>
  <c r="AS102" i="6" a="1"/>
  <c r="AJ37" i="6" a="1"/>
  <c r="U73" i="6" a="1"/>
  <c r="AA45" i="6" a="1"/>
  <c r="AH94" i="6" a="1"/>
  <c r="AQ49" i="6" a="1"/>
  <c r="AM24" i="6" a="1"/>
  <c r="AW28" i="6" a="1"/>
  <c r="U70" i="6" a="1"/>
  <c r="AQ112" i="6" a="1"/>
  <c r="BA94" i="6" a="1"/>
  <c r="X85" i="6" a="1"/>
  <c r="AS107" i="6" a="1"/>
  <c r="BD71" i="6" a="1"/>
  <c r="AX86" i="6" a="1"/>
  <c r="AR88" i="6" a="1"/>
  <c r="U59" i="6" a="1"/>
  <c r="AU68" i="6" a="1"/>
  <c r="BA51" i="6" a="1"/>
  <c r="AF75" i="6" a="1"/>
  <c r="AD72" i="6" a="1"/>
  <c r="AH63" i="6" a="1"/>
  <c r="AG107" i="6" a="1"/>
  <c r="BC64" i="6" a="1"/>
  <c r="AA79" i="6" a="1"/>
  <c r="AD30" i="6" a="1"/>
  <c r="AL63" i="6" a="1"/>
  <c r="AR105" i="6" a="1"/>
  <c r="AU85" i="6" a="1"/>
  <c r="U58" i="6" a="1"/>
  <c r="AV43" i="6" a="1"/>
  <c r="Z120" i="6" a="1"/>
  <c r="AQ116" i="6" a="1"/>
  <c r="AI42" i="6" a="1"/>
  <c r="AX27" i="6" a="1"/>
  <c r="AH103" i="6" a="1"/>
  <c r="AU57" i="6" a="1"/>
  <c r="AG26" i="6" a="1"/>
  <c r="AY27" i="6" a="1"/>
  <c r="AG120" i="6" a="1"/>
  <c r="BB32" i="6" a="1"/>
  <c r="AU75" i="6" a="1"/>
  <c r="W47" i="6" a="1"/>
  <c r="BC97" i="6" a="1"/>
  <c r="AK67" i="6" a="1"/>
  <c r="AJ113" i="6" a="1"/>
  <c r="AV59" i="6" a="1"/>
  <c r="AE89" i="6" a="1"/>
  <c r="AL72" i="6" a="1"/>
  <c r="AW48" i="6" a="1"/>
  <c r="AG64" i="6" a="1"/>
  <c r="AQ34" i="6" a="1"/>
  <c r="U27" i="6" a="1"/>
  <c r="BB35" i="6" a="1"/>
  <c r="BC29" i="6" a="1"/>
  <c r="V113" i="6" a="1"/>
  <c r="AS34" i="6" a="1"/>
  <c r="AJ82" i="6" a="1"/>
  <c r="AT40" i="6" a="1"/>
  <c r="AZ28" i="6" a="1"/>
  <c r="AQ39" i="6" a="1"/>
  <c r="AP24" i="6" a="1"/>
  <c r="AH62" i="6" a="1"/>
  <c r="AU92" i="6" a="1"/>
  <c r="Z83" i="6" a="1"/>
  <c r="AZ60" i="6" a="1"/>
  <c r="BC38" i="6" a="1"/>
  <c r="Z38" i="6" a="1"/>
  <c r="V31" i="6" a="1"/>
  <c r="AW25" i="6" a="1"/>
  <c r="AT72" i="6" a="1"/>
  <c r="AT56" i="6" a="1"/>
  <c r="AO31" i="6" a="1"/>
  <c r="Y46" i="6" a="1"/>
  <c r="BD118" i="6" a="1"/>
  <c r="AI70" i="6" a="1"/>
  <c r="AG94" i="6" a="1"/>
  <c r="AY77" i="6" a="1"/>
  <c r="AL46" i="6" a="1"/>
  <c r="AQ62" i="6" a="1"/>
  <c r="X51" i="6" a="1"/>
  <c r="AC71" i="6" a="1"/>
  <c r="BD123" i="6" a="1"/>
  <c r="AR83" i="6" a="1"/>
  <c r="AR37" i="6" a="1"/>
  <c r="AU120" i="6" a="1"/>
  <c r="AZ46" i="6" a="1"/>
  <c r="AP48" i="6" a="1"/>
  <c r="AV52" i="6" a="1"/>
  <c r="AD64" i="6" a="1"/>
  <c r="AW73" i="6" a="1"/>
  <c r="AJ109" i="6" a="1"/>
  <c r="X22" i="6" a="1"/>
  <c r="AR23" i="6" a="1"/>
  <c r="AA123" i="6" a="1"/>
  <c r="X26" i="6" a="1"/>
  <c r="AO58" i="6" a="1"/>
  <c r="AQ68" i="6" a="1"/>
  <c r="Y87" i="6" a="1"/>
  <c r="AC28" i="6" a="1"/>
  <c r="V26" i="6" a="1"/>
  <c r="AF83" i="6" a="1"/>
  <c r="BD23" i="6" a="1"/>
  <c r="AZ74" i="6" a="1"/>
  <c r="AL44" i="6" a="1"/>
  <c r="AM52" i="6" a="1"/>
  <c r="AC44" i="6" a="1"/>
  <c r="AU43" i="6" a="1"/>
  <c r="AY31" i="6" a="1"/>
  <c r="Z102" i="6" a="1"/>
  <c r="AW74" i="6" a="1"/>
  <c r="AZ91" i="6" a="1"/>
  <c r="AF21" i="6" a="1"/>
  <c r="X45" i="6" a="1"/>
  <c r="AP44" i="6" a="1"/>
  <c r="AB87" i="6" a="1"/>
  <c r="AZ118" i="6" a="1"/>
  <c r="AM51" i="6" a="1"/>
  <c r="AJ29" i="6" a="1"/>
  <c r="AG31" i="6" a="1"/>
  <c r="AK60" i="6" a="1"/>
  <c r="AT82" i="6" a="1"/>
  <c r="BC51" i="6" a="1"/>
  <c r="AF115" i="6" a="1"/>
  <c r="BA76" i="6" a="1"/>
  <c r="AB35" i="6" a="1"/>
  <c r="AB97" i="6" a="1"/>
  <c r="AQ78" i="6" a="1"/>
  <c r="AD73" i="6" a="1"/>
  <c r="AN78" i="6" a="1"/>
  <c r="AG91" i="6" a="1"/>
  <c r="AG53" i="6" a="1"/>
  <c r="Y47" i="6" a="1"/>
  <c r="AD40" i="6" a="1"/>
  <c r="AK65" i="6" a="1"/>
  <c r="AU48" i="6" a="1"/>
  <c r="AD112" i="6" a="1"/>
  <c r="AS56" i="6" a="1"/>
  <c r="AJ27" i="6" a="1"/>
  <c r="X31" i="6" a="1"/>
  <c r="AC68" i="6" a="1"/>
  <c r="AO70" i="6" a="1"/>
  <c r="AN43" i="6" a="1"/>
  <c r="AD28" i="6" a="1"/>
  <c r="AY38" i="6" a="1"/>
  <c r="AD79" i="6" a="1"/>
  <c r="AX22" i="6" a="1"/>
  <c r="AI71" i="6" a="1"/>
  <c r="Y116" i="6" a="1"/>
  <c r="AG123" i="6" a="1"/>
  <c r="AD100" i="6" a="1"/>
  <c r="AM93" i="6" a="1"/>
  <c r="AW81" i="6" a="1"/>
  <c r="W26" i="6" a="1"/>
  <c r="BD98" i="6" a="1"/>
  <c r="AC31" i="6" a="1"/>
  <c r="AN88" i="6" a="1"/>
  <c r="BD90" i="6" a="1"/>
  <c r="AR66" i="6" a="1"/>
  <c r="AN67" i="6" a="1"/>
  <c r="AB128" i="6" a="1"/>
  <c r="AI40" i="6" a="1"/>
  <c r="W122" i="6" a="1"/>
  <c r="U89" i="6" a="1"/>
  <c r="AV37" i="6" a="1"/>
  <c r="AH67" i="6" a="1"/>
  <c r="AV110" i="6" a="1"/>
  <c r="AT45" i="6" a="1"/>
  <c r="AK21" i="6" a="1"/>
  <c r="Z29" i="6" a="1"/>
  <c r="AJ68" i="6" a="1"/>
  <c r="BC71" i="6" a="1"/>
  <c r="AY124" i="6" a="1"/>
  <c r="AC60" i="6" a="1"/>
  <c r="AG72" i="6" a="1"/>
  <c r="AD95" i="6" a="1"/>
  <c r="AO117" i="6" a="1"/>
  <c r="AC53" i="6" a="1"/>
  <c r="U26" i="6" a="1"/>
  <c r="Y103" i="6" a="1"/>
  <c r="AP32" i="6" a="1"/>
  <c r="AT53" i="6" a="1"/>
  <c r="AU66" i="6" a="1"/>
  <c r="AT22" i="6" a="1"/>
  <c r="AL59" i="6" a="1"/>
  <c r="AP62" i="6" a="1"/>
  <c r="AH49" i="6" a="1"/>
  <c r="BA79" i="6" a="1"/>
  <c r="Y37" i="6" a="1"/>
  <c r="BD106" i="6" a="1"/>
  <c r="AE25" i="6" a="1"/>
  <c r="AH127" i="6" a="1"/>
  <c r="AF77" i="6" a="1"/>
  <c r="BC25" i="6" a="1"/>
  <c r="AI69" i="6" a="1"/>
  <c r="AM58" i="6" a="1"/>
  <c r="AK50" i="6" a="1"/>
  <c r="BD81" i="6" a="1"/>
  <c r="AI126" i="6" a="1"/>
  <c r="V32" i="6" a="1"/>
  <c r="AH108" i="6" a="1"/>
  <c r="AB104" i="6" a="1"/>
  <c r="Y62" i="6" a="1"/>
  <c r="AX126" i="6" a="1"/>
  <c r="AT115" i="6" a="1"/>
  <c r="BC39" i="6" a="1"/>
  <c r="AR111" i="6" a="1"/>
  <c r="AP125" i="6" a="1"/>
  <c r="AK77" i="6" a="1"/>
  <c r="AU41" i="6" a="1"/>
  <c r="V50" i="6" a="1"/>
  <c r="AO88" i="6" a="1"/>
  <c r="AO40" i="6" a="1"/>
  <c r="Y80" i="6" a="1"/>
  <c r="AB39" i="6" a="1"/>
  <c r="AY65" i="6" a="1"/>
  <c r="BD29" i="6" a="1"/>
  <c r="AJ34" i="6" a="1"/>
  <c r="BB36" i="6" a="1"/>
  <c r="AS86" i="6" a="1"/>
  <c r="AP31" i="6" a="1"/>
  <c r="Z94" i="6" a="1"/>
  <c r="AK27" i="6" a="1"/>
  <c r="W71" i="6" a="1"/>
  <c r="AU83" i="6" a="1"/>
  <c r="AQ53" i="6" a="1"/>
  <c r="Y42" i="6" a="1"/>
  <c r="AU116" i="6" a="1"/>
  <c r="AS94" i="6" a="1"/>
  <c r="AT44" i="6" a="1"/>
  <c r="AE82" i="6" a="1"/>
  <c r="AB84" i="6" a="1"/>
  <c r="AX78" i="6" a="1"/>
  <c r="BB80" i="6" a="1"/>
  <c r="AP68" i="6" a="1"/>
  <c r="AU121" i="6" a="1"/>
  <c r="AN24" i="6" a="1"/>
  <c r="AT34" i="6" a="1"/>
  <c r="AT50" i="6" a="1"/>
  <c r="AO39" i="6" a="1"/>
  <c r="AW123" i="6" a="1"/>
  <c r="V110" i="6" a="1"/>
  <c r="AV112" i="6" a="1"/>
  <c r="U96" i="6" a="1"/>
  <c r="AL58" i="6" a="1"/>
  <c r="AF112" i="6" a="1"/>
  <c r="X97" i="6" a="1"/>
  <c r="BB124" i="6" a="1"/>
  <c r="U122" i="6" a="1"/>
  <c r="Y74" i="6" a="1"/>
  <c r="V92" i="6" a="1"/>
  <c r="AA59" i="6" a="1"/>
  <c r="AA92" i="6" a="1"/>
  <c r="AK85" i="6" a="1"/>
  <c r="AP33" i="6" a="1"/>
  <c r="AM50" i="6" a="1"/>
  <c r="AV42" i="6" a="1"/>
  <c r="AC75" i="6" a="1"/>
  <c r="AZ26" i="6" a="1"/>
  <c r="AR30" i="6" a="1"/>
  <c r="AQ31" i="6" a="1"/>
  <c r="Z75" i="6" a="1"/>
  <c r="AQ82" i="6" a="1"/>
  <c r="AB107" i="6" a="1"/>
  <c r="BD120" i="6" a="1"/>
  <c r="AM60" i="6" a="1"/>
  <c r="AO124" i="6" a="1"/>
  <c r="BC37" i="6" a="1"/>
  <c r="AX109" i="6" a="1"/>
  <c r="AD48" i="6" a="1"/>
  <c r="AA47" i="6" a="1"/>
  <c r="AM37" i="6" a="1"/>
  <c r="AW60" i="6" a="1"/>
  <c r="AR35" i="6" a="1"/>
  <c r="AZ39" i="6" a="1"/>
  <c r="AQ118" i="6" a="1"/>
  <c r="AE81" i="6" a="1"/>
  <c r="AX89" i="6" a="1"/>
  <c r="AL83" i="6" a="1"/>
  <c r="AT23" i="6" a="1"/>
  <c r="AY33" i="6" a="1"/>
  <c r="AC117" i="6" a="1"/>
  <c r="Z66" i="6" a="1"/>
  <c r="AY36" i="6" a="1"/>
  <c r="X65" i="6" a="1"/>
  <c r="AO128" i="6" a="1"/>
  <c r="AX51" i="6" a="1"/>
  <c r="AU91" i="6" a="1"/>
  <c r="Y27" i="6" a="1"/>
  <c r="Z118" i="6" a="1"/>
  <c r="AE66" i="6" a="1"/>
  <c r="AW96" i="6" a="1"/>
  <c r="BD87" i="6" a="1"/>
  <c r="AL41" i="6" a="1"/>
  <c r="Z100" i="6" a="1"/>
  <c r="AC38" i="6" a="1"/>
  <c r="AO72" i="6" a="1"/>
  <c r="AB93" i="6" a="1"/>
  <c r="U37" i="6" a="1"/>
  <c r="AG62" i="6" a="1"/>
  <c r="Y63" i="6" a="1"/>
  <c r="Y28" i="6" a="1"/>
  <c r="AI25" i="6" a="1"/>
  <c r="AG50" i="6" a="1"/>
  <c r="AD90" i="6" a="1"/>
  <c r="AZ40" i="6" a="1"/>
  <c r="AO98" i="6" a="1"/>
  <c r="AL114" i="6" a="1"/>
  <c r="BA69" i="6" a="1"/>
  <c r="AI32" i="6" a="1"/>
  <c r="AN71" i="6" a="1"/>
  <c r="AG75" i="6" a="1"/>
  <c r="AB98" i="6" a="1"/>
  <c r="AC120" i="6" a="1"/>
  <c r="U117" i="6" a="1"/>
  <c r="X104" i="6" a="1"/>
  <c r="AR90" i="6" a="1"/>
  <c r="Y112" i="6" a="1"/>
  <c r="AD81" i="6" a="1"/>
  <c r="AO26" i="6" a="1"/>
  <c r="AZ121" i="6" a="1"/>
  <c r="BD68" i="6" a="1"/>
  <c r="Y125" i="6" a="1"/>
  <c r="AM36" i="6" a="1"/>
  <c r="BD85" i="6" a="1"/>
  <c r="BB69" i="6" a="1"/>
  <c r="AU114" i="6" a="1"/>
  <c r="AN63" i="6" a="1"/>
  <c r="U79" i="6" a="1"/>
  <c r="AX30" i="6" a="1"/>
  <c r="X34" i="6" a="1"/>
  <c r="AM45" i="6" a="1"/>
  <c r="AA96" i="6" a="1"/>
  <c r="AK26" i="6" a="1"/>
  <c r="AQ113" i="6" a="1"/>
  <c r="AC84" i="6" a="1"/>
  <c r="AI67" i="6" a="1"/>
  <c r="AP43" i="6" a="1"/>
  <c r="AQ63" i="6" a="1"/>
  <c r="AL23" i="6" a="1"/>
  <c r="AB29" i="6" a="1"/>
  <c r="AU30" i="6" a="1"/>
  <c r="V56" i="6" a="1"/>
  <c r="AX113" i="6" a="1"/>
  <c r="AG88" i="6" a="1"/>
  <c r="Z48" i="6" a="1"/>
  <c r="AG74" i="6" a="1"/>
  <c r="AO29" i="6" a="1"/>
  <c r="AA105" i="6" a="1"/>
  <c r="AR128" i="6" a="1"/>
  <c r="U116" i="6" a="1"/>
  <c r="AN57" i="6" a="1"/>
  <c r="AO96" i="6" a="1"/>
  <c r="AU33" i="6" a="1"/>
  <c r="AS55" i="6" a="1"/>
  <c r="W102" i="6" a="1"/>
  <c r="AJ67" i="6" a="1"/>
  <c r="BD53" i="6" a="1"/>
  <c r="AX79" i="6" a="1"/>
  <c r="AR116" i="6" a="1"/>
  <c r="AR113" i="6" a="1"/>
  <c r="AR42" i="6" a="1"/>
  <c r="AG29" i="6" a="1"/>
  <c r="Z119" i="6" a="1"/>
  <c r="BC70" i="6" a="1"/>
  <c r="AM90" i="6" a="1"/>
  <c r="BB72" i="6" a="1"/>
  <c r="AJ74" i="6" a="1"/>
  <c r="AN120" i="6" a="1"/>
  <c r="AE51" i="6" a="1"/>
  <c r="X52" i="6" a="1"/>
  <c r="BA57" i="6" a="1"/>
  <c r="AT26" i="6" a="1"/>
  <c r="AL51" i="6" a="1"/>
  <c r="AX120" i="6" a="1"/>
  <c r="AQ37" i="6" a="1"/>
  <c r="AL40" i="6" a="1"/>
  <c r="AZ29" i="6" a="1"/>
  <c r="AB46" i="6" a="1"/>
  <c r="U57" i="6" a="1"/>
  <c r="AE98" i="6" a="1"/>
  <c r="AP88" i="6" a="1"/>
  <c r="AY47" i="6" a="1"/>
  <c r="AN27" i="6" a="1"/>
  <c r="AH54" i="6" a="1"/>
  <c r="AG84" i="6" a="1"/>
  <c r="AN66" i="6" a="1"/>
  <c r="AG118" i="6" a="1"/>
  <c r="Z28" i="6" a="1"/>
  <c r="AP49" i="6" a="1"/>
  <c r="AJ121" i="6" a="1"/>
  <c r="AN95" i="6" a="1"/>
  <c r="AI24" i="6" a="1"/>
  <c r="Y26" i="6" a="1"/>
  <c r="AA81" i="6" a="1"/>
  <c r="AQ120" i="6" a="1"/>
  <c r="AJ38" i="6" a="1"/>
  <c r="BB53" i="6" a="1"/>
  <c r="AL127" i="6" a="1"/>
  <c r="AG37" i="6" a="1"/>
  <c r="AR27" i="6" a="1"/>
  <c r="Z91" i="6" a="1"/>
  <c r="AM29" i="6" a="1"/>
  <c r="BA50" i="6" a="1"/>
  <c r="AC58" i="6" a="1"/>
  <c r="AJ108" i="6" a="1"/>
  <c r="AL93" i="6" a="1"/>
  <c r="AN107" i="6" a="1"/>
  <c r="AR92" i="6" a="1"/>
  <c r="AH109" i="6" a="1"/>
  <c r="AD33" i="6" a="1"/>
  <c r="AU39" i="6" a="1"/>
  <c r="AM23" i="6" a="1"/>
  <c r="AO51" i="6" a="1"/>
  <c r="W84" i="6" a="1"/>
  <c r="BB111" i="6" a="1"/>
  <c r="AW104" i="6" a="1"/>
  <c r="AD121" i="6" a="1"/>
  <c r="AO104" i="6" a="1"/>
  <c r="AC79" i="6" a="1"/>
  <c r="Z43" i="6" a="1"/>
  <c r="AL56" i="6" a="1"/>
  <c r="AX45" i="6" a="1"/>
  <c r="AJ61" i="6" a="1"/>
  <c r="Y66" i="6" a="1"/>
  <c r="AU51" i="6" a="1"/>
  <c r="AU74" i="6" a="1"/>
  <c r="AI65" i="6" a="1"/>
  <c r="AX24" i="6" a="1"/>
  <c r="Z58" i="6" a="1"/>
  <c r="AG54" i="6" a="1"/>
  <c r="AC92" i="6" a="1"/>
  <c r="AJ93" i="6" a="1"/>
  <c r="AL108" i="6" a="1"/>
  <c r="AK93" i="6" a="1"/>
  <c r="AI37" i="6" a="1"/>
  <c r="AB57" i="6" a="1"/>
  <c r="Z93" i="6" a="1"/>
  <c r="AB75" i="6" a="1"/>
  <c r="AO125" i="6" a="1"/>
  <c r="X37" i="6" a="1"/>
  <c r="AQ109" i="6" a="1"/>
  <c r="AE60" i="6" a="1"/>
  <c r="AA38" i="6" a="1"/>
  <c r="AL119" i="6" a="1"/>
  <c r="AN115" i="6" a="1"/>
  <c r="AZ63" i="6" a="1"/>
  <c r="AE48" i="6" a="1"/>
  <c r="BA74" i="6" a="1"/>
  <c r="U119" i="6" a="1"/>
  <c r="AS29" i="6" a="1"/>
  <c r="AZ126" i="6" a="1"/>
  <c r="BB121" i="6" a="1"/>
  <c r="X55" i="6" a="1"/>
  <c r="AV90" i="6" a="1"/>
  <c r="AE37" i="6" a="1"/>
  <c r="AY50" i="6" a="1"/>
  <c r="AD89" i="6" a="1"/>
  <c r="BB76" i="6" a="1"/>
  <c r="AF84" i="6" a="1"/>
  <c r="AQ26" i="6" a="1"/>
  <c r="AX29" i="6" a="1"/>
  <c r="AB73" i="6" a="1"/>
  <c r="AR67" i="6" a="1"/>
  <c r="AY74" i="6" a="1"/>
  <c r="BB63" i="6" a="1"/>
  <c r="AL103" i="6" a="1"/>
  <c r="AN37" i="6" a="1"/>
  <c r="Z84" i="6" a="1"/>
  <c r="AP51" i="6" a="1"/>
  <c r="V122" i="6" a="1"/>
  <c r="AJ117" i="6" a="1"/>
  <c r="BB93" i="6" a="1"/>
  <c r="BB45" i="6" a="1"/>
  <c r="BA71" i="6" a="1"/>
  <c r="AN85" i="6" a="1"/>
  <c r="AY76" i="6" a="1"/>
  <c r="BA81" i="6" a="1"/>
  <c r="Y43" i="6" a="1"/>
  <c r="BC32" i="6" a="1"/>
  <c r="AB63" i="6" a="1"/>
  <c r="BA40" i="6" a="1"/>
  <c r="BD62" i="6" a="1"/>
  <c r="BA59" i="6" a="1"/>
  <c r="AD68" i="6" a="1"/>
  <c r="AU84" i="6" a="1"/>
  <c r="BD82" i="6" a="1"/>
  <c r="AL77" i="6" a="1"/>
  <c r="AI123" i="6" a="1"/>
  <c r="AW29" i="6" a="1"/>
  <c r="AY37" i="6" a="1"/>
  <c r="AL66" i="6" a="1"/>
  <c r="AC51" i="6" a="1"/>
  <c r="AI39" i="6" a="1"/>
  <c r="BC76" i="6" a="1"/>
  <c r="AX60" i="6" a="1"/>
  <c r="V64" i="6" a="1"/>
  <c r="AU107" i="6" a="1"/>
  <c r="Z26" i="6" a="1"/>
  <c r="X25" i="6" a="1"/>
  <c r="U63" i="6" a="1"/>
  <c r="AB34" i="6" a="1"/>
  <c r="AT35" i="6" a="1"/>
  <c r="AD123" i="6" a="1"/>
  <c r="AA26" i="6" a="1"/>
  <c r="AQ105" i="6" a="1"/>
  <c r="AQ75" i="6" a="1"/>
  <c r="AG43" i="6" a="1"/>
  <c r="AU100" i="6" a="1"/>
  <c r="AY80" i="6" a="1"/>
  <c r="V114" i="6" a="1"/>
  <c r="AS53" i="6" a="1"/>
  <c r="AC33" i="6" a="1"/>
  <c r="AE100" i="6" a="1"/>
  <c r="AA122" i="6" a="1"/>
  <c r="BB33" i="6" a="1"/>
  <c r="AY111" i="6" a="1"/>
  <c r="BA92" i="6" a="1"/>
  <c r="AQ27" i="6" a="1"/>
  <c r="AD57" i="6" a="1"/>
  <c r="Y31" i="6" a="1"/>
  <c r="BC104" i="6" a="1"/>
  <c r="AA85" i="6" a="1"/>
  <c r="AQ65" i="6" a="1"/>
  <c r="AJ70" i="6" a="1"/>
  <c r="Y96" i="6" a="1"/>
  <c r="AH24" i="6" a="1"/>
  <c r="Z56" i="6" a="1"/>
  <c r="AR89" i="6" a="1"/>
  <c r="AM62" i="6" a="1"/>
  <c r="BC52" i="6" a="1"/>
  <c r="Y29" i="6" a="1"/>
  <c r="AS28" i="6" a="1"/>
  <c r="AA58" i="6" a="1"/>
  <c r="AZ27" i="6" a="1"/>
  <c r="AP100" i="6" a="1"/>
  <c r="X90" i="6" a="1"/>
  <c r="AL97" i="6" a="1"/>
  <c r="BD24" i="6" a="1"/>
  <c r="AN86" i="6" a="1"/>
  <c r="Y101" i="6" a="1"/>
  <c r="AZ101" i="6" a="1"/>
  <c r="AE94" i="6" a="1"/>
  <c r="AT97" i="6" a="1"/>
  <c r="AW122" i="6" a="1"/>
  <c r="AX114" i="6" a="1"/>
  <c r="BC65" i="6" a="1"/>
  <c r="AU38" i="6" a="1"/>
  <c r="AU97" i="6" a="1"/>
  <c r="U23" i="6" a="1"/>
  <c r="AQ115" i="6" a="1"/>
  <c r="AU63" i="6" a="1"/>
  <c r="AI44" i="6" a="1"/>
  <c r="AO52" i="6" a="1"/>
  <c r="AZ31" i="6" a="1"/>
  <c r="AW101" i="6" a="1"/>
  <c r="AU96" i="6" a="1"/>
  <c r="AU59" i="6" a="1"/>
  <c r="AE121" i="6" a="1"/>
  <c r="AM68" i="6" a="1"/>
  <c r="AZ84" i="6" a="1"/>
  <c r="BB29" i="6" a="1"/>
  <c r="AL76" i="6" a="1"/>
  <c r="AB47" i="6" a="1"/>
  <c r="AH60" i="6" a="1"/>
  <c r="AI128" i="6" a="1"/>
  <c r="AM125" i="6" a="1"/>
  <c r="AP75" i="6" a="1"/>
  <c r="AN55" i="6" a="1"/>
  <c r="AQ30" i="6" a="1"/>
  <c r="AM116" i="6" a="1"/>
  <c r="AP67" i="6" a="1"/>
  <c r="BA93" i="6" a="1"/>
  <c r="AL94" i="6" a="1"/>
  <c r="AQ86" i="6" a="1"/>
  <c r="X74" i="6" a="1"/>
  <c r="AQ81" i="6" a="1"/>
  <c r="Y81" i="6" a="1"/>
  <c r="AK42" i="6" a="1"/>
  <c r="AM30" i="6" a="1"/>
  <c r="AW57" i="6" a="1"/>
  <c r="AP37" i="6" a="1"/>
  <c r="BA36" i="6" a="1"/>
  <c r="AX83" i="6" a="1"/>
  <c r="V39" i="6" a="1"/>
  <c r="AV78" i="6" a="1"/>
  <c r="AS98" i="6" a="1"/>
  <c r="AS106" i="6" a="1"/>
  <c r="AF64" i="6" a="1"/>
  <c r="AO74" i="6" a="1"/>
  <c r="AQ93" i="6" a="1"/>
  <c r="AI125" i="6" a="1"/>
  <c r="AY119" i="6" a="1"/>
  <c r="U64" i="6" a="1"/>
  <c r="AT57" i="6" a="1"/>
  <c r="Z25" i="6" a="1"/>
  <c r="AD120" i="6" a="1"/>
  <c r="AS51" i="6" a="1"/>
  <c r="BD40" i="6" a="1"/>
  <c r="AD97" i="6" a="1"/>
  <c r="AV121" i="6" a="1"/>
  <c r="AS64" i="6" a="1"/>
  <c r="AS85" i="6" a="1"/>
  <c r="AW85" i="6" a="1"/>
  <c r="V124" i="6" a="1"/>
  <c r="AG81" i="6" a="1"/>
  <c r="AA74" i="6" a="1"/>
  <c r="AE91" i="6" a="1"/>
  <c r="AB126" i="6" a="1"/>
  <c r="W104" i="6" a="1"/>
  <c r="AE107" i="6" a="1"/>
  <c r="U66" i="6" a="1"/>
  <c r="AJ25" i="6" a="1"/>
  <c r="AY128" i="6" a="1"/>
  <c r="AC90" i="6" a="1"/>
  <c r="AF85" i="6" a="1"/>
  <c r="BA120" i="6" a="1"/>
  <c r="AT24" i="6" a="1"/>
  <c r="AF49" i="6" a="1"/>
  <c r="BD47" i="6" a="1"/>
  <c r="AJ110" i="6" a="1"/>
  <c r="AX72" i="6" a="1"/>
  <c r="AK124" i="6" a="1"/>
  <c r="AX96" i="6" a="1"/>
  <c r="AR76" i="6" a="1"/>
  <c r="AS21" i="6" a="1"/>
  <c r="AB45" i="6" a="1"/>
  <c r="Z95" i="6" a="1"/>
  <c r="AP108" i="6" a="1"/>
  <c r="AA83" i="6" a="1"/>
  <c r="AT112" i="6" a="1"/>
  <c r="X101" i="6" a="1"/>
  <c r="V104" i="6" a="1"/>
  <c r="AH93" i="6" a="1"/>
  <c r="AM84" i="6" a="1"/>
  <c r="AT42" i="6" a="1"/>
  <c r="AK30" i="6" a="1"/>
  <c r="AW103" i="6" a="1"/>
  <c r="AM55" i="6" a="1"/>
  <c r="AZ42" i="6" a="1"/>
  <c r="X44" i="6" a="1"/>
  <c r="AZ43" i="6" a="1"/>
  <c r="AD119" i="6" a="1"/>
  <c r="Y88" i="6" a="1"/>
  <c r="BB52" i="6" a="1"/>
  <c r="AA119" i="6" a="1"/>
  <c r="AW62" i="6" a="1"/>
  <c r="V59" i="6" a="1"/>
  <c r="AK28" i="6" a="1"/>
  <c r="X84" i="6" a="1"/>
  <c r="BC36" i="6" a="1"/>
  <c r="AT59" i="6" a="1"/>
  <c r="BD88" i="6" a="1"/>
  <c r="AX124" i="6" a="1"/>
  <c r="BB118" i="6" a="1"/>
  <c r="AQ69" i="6" a="1"/>
  <c r="AC66" i="6" a="1"/>
  <c r="V67" i="6" a="1"/>
  <c r="AO84" i="6" a="1"/>
  <c r="BD109" i="6" a="1"/>
  <c r="BC48" i="6" a="1"/>
  <c r="AR29" i="6" a="1"/>
  <c r="BD60" i="6" a="1"/>
  <c r="X121" i="6" a="1"/>
  <c r="Z97" i="6" a="1"/>
  <c r="BC31" i="6" a="1"/>
  <c r="AM99" i="6" a="1"/>
  <c r="AR48" i="6" a="1"/>
  <c r="AD61" i="6" a="1"/>
  <c r="AN62" i="6" a="1"/>
  <c r="AB102" i="6" a="1"/>
  <c r="W112" i="6" a="1"/>
  <c r="AZ77" i="6" a="1"/>
  <c r="AN83" i="6" a="1"/>
  <c r="AN118" i="6" a="1"/>
  <c r="AY90" i="6" a="1"/>
  <c r="Y98" i="6" a="1"/>
  <c r="AF39" i="6" a="1"/>
  <c r="Z63" i="6" a="1"/>
  <c r="AL42" i="6" a="1"/>
  <c r="U106" i="6" a="1"/>
  <c r="V115" i="6" a="1"/>
  <c r="AY68" i="6" a="1"/>
  <c r="BB89" i="6" a="1"/>
  <c r="BB66" i="6" a="1"/>
  <c r="AU54" i="6" a="1"/>
  <c r="AI61" i="6" a="1"/>
  <c r="X83" i="6" a="1"/>
  <c r="AF80" i="6" a="1"/>
  <c r="BA30" i="6" a="1"/>
  <c r="AG21" i="6" a="1"/>
  <c r="AZ111" i="6" a="1"/>
  <c r="AW71" i="6" a="1"/>
  <c r="AU34" i="6" a="1"/>
  <c r="AZ79" i="6" a="1"/>
  <c r="AB68" i="6" a="1"/>
  <c r="BA83" i="6" a="1"/>
  <c r="AD94" i="6" a="1"/>
  <c r="AK22" i="6" a="1"/>
  <c r="AV98" i="6" a="1"/>
  <c r="AR62" i="6" a="1"/>
  <c r="AA31" i="6" a="1"/>
  <c r="AC103" i="6" a="1"/>
  <c r="AP119" i="6" a="1"/>
  <c r="V38" i="6" a="1"/>
  <c r="AE22" i="6" a="1"/>
  <c r="AJ52" i="6" a="1"/>
  <c r="AY103" i="6" a="1"/>
  <c r="X99" i="6" a="1"/>
  <c r="AH107" i="6" a="1"/>
  <c r="U33" i="6" a="1"/>
  <c r="AQ43" i="6" a="1"/>
  <c r="AQ97" i="6" a="1"/>
  <c r="AQ72" i="6" a="1"/>
  <c r="AS117" i="6" a="1"/>
  <c r="BA22" i="6" a="1"/>
  <c r="AF128" i="6" a="1"/>
  <c r="AC49" i="6" a="1"/>
  <c r="AE56" i="6" a="1"/>
  <c r="AZ45" i="6" a="1"/>
  <c r="BB113" i="6" a="1"/>
  <c r="U71" i="6" a="1"/>
  <c r="BD122" i="6" a="1"/>
  <c r="AU25" i="6" a="1"/>
  <c r="AA90" i="6" a="1"/>
  <c r="BA46" i="6" a="1"/>
  <c r="Z99" i="6" a="1"/>
  <c r="AH115" i="6" a="1"/>
  <c r="AT123" i="6" a="1"/>
  <c r="BB75" i="6" a="1"/>
  <c r="AT74" i="6" a="1"/>
  <c r="X66" i="6" a="1"/>
  <c r="AI52" i="6" a="1"/>
  <c r="AZ25" i="6" a="1"/>
  <c r="AC80" i="6" a="1"/>
  <c r="AG98" i="6" a="1"/>
  <c r="AC35" i="6" a="1"/>
  <c r="AH66" i="6" a="1"/>
  <c r="AQ51" i="6" a="1"/>
  <c r="BC115" i="6" a="1"/>
  <c r="AW21" i="6" a="1"/>
  <c r="AK56" i="6" a="1"/>
  <c r="AB117" i="6" a="1"/>
  <c r="BA56" i="6" a="1"/>
  <c r="AI93" i="6" a="1"/>
  <c r="AG83" i="6" a="1"/>
  <c r="BC94" i="6" a="1"/>
  <c r="AQ50" i="6" a="1"/>
  <c r="AC77" i="6" a="1"/>
  <c r="AA106" i="6" a="1"/>
  <c r="Y77" i="6" a="1"/>
  <c r="AJ81" i="6" a="1"/>
  <c r="AH28" i="6" a="1"/>
  <c r="AM98" i="6" a="1"/>
  <c r="AW35" i="6" a="1"/>
  <c r="AL86" i="6" a="1"/>
  <c r="AW109" i="6" a="1"/>
  <c r="AU69" i="6" a="1"/>
  <c r="AF101" i="6" a="1"/>
  <c r="AW112" i="6" a="1"/>
  <c r="AF93" i="6" a="1"/>
  <c r="AL91" i="6" a="1"/>
  <c r="Z125" i="6" a="1"/>
  <c r="AE88" i="6" a="1"/>
  <c r="AA98" i="6" a="1"/>
  <c r="AF30" i="6" a="1"/>
  <c r="V23" i="6" a="1"/>
  <c r="AY127" i="6" a="1"/>
  <c r="BC27" i="6" a="1"/>
  <c r="Y113" i="6" a="1"/>
  <c r="AJ48" i="6" a="1"/>
  <c r="AH70" i="6" a="1"/>
  <c r="AR119" i="6" a="1"/>
  <c r="AE87" i="6" a="1"/>
  <c r="Y75" i="6" a="1"/>
  <c r="AW125" i="6" a="1"/>
  <c r="AF25" i="6" a="1"/>
  <c r="AV51" i="6" a="1"/>
  <c r="Y44" i="6" a="1"/>
  <c r="AP52" i="6" a="1"/>
  <c r="AX69" i="6" a="1"/>
  <c r="AS125" i="6" a="1"/>
  <c r="AX66" i="6" a="1"/>
  <c r="AH85" i="6" a="1"/>
  <c r="AW91" i="6" a="1"/>
  <c r="AB92" i="6" a="1"/>
  <c r="AG99" i="6" a="1"/>
  <c r="AO111" i="6" a="1"/>
  <c r="AC96" i="6" a="1"/>
  <c r="AP36" i="6" a="1"/>
  <c r="AL54" i="6" a="1"/>
  <c r="AC25" i="6" a="1"/>
  <c r="AC52" i="6" a="1"/>
  <c r="Z126" i="6" a="1"/>
  <c r="AQ40" i="6" a="1"/>
  <c r="U85" i="6" a="1"/>
  <c r="AT103" i="6" a="1"/>
  <c r="BD114" i="6" a="1"/>
  <c r="AW32" i="6" a="1"/>
  <c r="AB114" i="6" a="1"/>
  <c r="AV63" i="6" a="1"/>
  <c r="AK33" i="6" a="1"/>
  <c r="AY34" i="6" a="1"/>
  <c r="Y91" i="6" a="1"/>
  <c r="AL85" i="6" a="1"/>
  <c r="BD35" i="6" a="1"/>
  <c r="BA52" i="6" a="1"/>
  <c r="AX70" i="6" a="1"/>
  <c r="BC21" i="6" a="1"/>
  <c r="BA96" i="6" a="1"/>
  <c r="AG112" i="6" a="1"/>
  <c r="AD32" i="6" a="1"/>
  <c r="AC81" i="6" a="1"/>
  <c r="BA102" i="6" a="1"/>
  <c r="AJ44" i="6" a="1"/>
  <c r="AN121" i="6" a="1"/>
  <c r="BB95" i="6" a="1"/>
  <c r="AK118" i="6" a="1"/>
  <c r="Y51" i="6" a="1"/>
  <c r="W92" i="6" a="1"/>
  <c r="AZ32" i="6" a="1"/>
  <c r="AH46" i="6" a="1"/>
  <c r="AK120" i="6" a="1"/>
  <c r="BB71" i="6" a="1"/>
  <c r="BB106" i="6" a="1"/>
  <c r="W60" i="6" a="1"/>
  <c r="AB99" i="6" a="1"/>
  <c r="AK70" i="6" a="1"/>
  <c r="AG63" i="6" a="1"/>
  <c r="AU77" i="6" a="1"/>
  <c r="U50" i="6" a="1"/>
  <c r="AB52" i="6" a="1"/>
  <c r="BA95" i="6" a="1"/>
  <c r="AG114" i="6" a="1"/>
  <c r="AA60" i="6" a="1"/>
  <c r="AZ78" i="6" a="1"/>
  <c r="W81" i="6" a="1"/>
  <c r="AT85" i="6" a="1"/>
  <c r="AU122" i="6" a="1"/>
  <c r="BB122" i="6" a="1"/>
  <c r="AL27" i="6" a="1"/>
  <c r="AG60" i="6" a="1"/>
  <c r="BD54" i="6" a="1"/>
  <c r="BA49" i="6" a="1"/>
  <c r="AR38" i="6" a="1"/>
  <c r="AF54" i="6" a="1"/>
  <c r="AT78" i="6" a="1"/>
  <c r="AL37" i="6" a="1"/>
  <c r="W65" i="6" a="1"/>
  <c r="AS79" i="6" a="1"/>
  <c r="Y41" i="6" a="1"/>
  <c r="AB90" i="6" a="1"/>
  <c r="BB84" i="6" a="1"/>
  <c r="AM43" i="6" a="1"/>
  <c r="Y85" i="6" a="1"/>
  <c r="AV69" i="6" a="1"/>
  <c r="AS71" i="6" a="1"/>
  <c r="U128" i="6" a="1"/>
  <c r="AI97" i="6" a="1"/>
  <c r="AK100" i="6" a="1"/>
  <c r="BC58" i="6" a="1"/>
  <c r="AW107" i="6" a="1"/>
  <c r="AT108" i="6" a="1"/>
  <c r="BA68" i="6" a="1"/>
  <c r="AN50" i="6" a="1"/>
  <c r="AB25" i="6" a="1"/>
  <c r="AZ38" i="6" a="1"/>
  <c r="AF23" i="6" a="1"/>
  <c r="AS32" i="6" a="1"/>
  <c r="AF59" i="6" a="1"/>
  <c r="AV107" i="6" a="1"/>
  <c r="V81" i="6" a="1"/>
  <c r="AJ75" i="6" a="1"/>
  <c r="AQ98" i="6" a="1"/>
  <c r="AW47" i="6" a="1"/>
  <c r="AR43" i="6" a="1"/>
  <c r="AB31" i="6" a="1"/>
  <c r="AW77" i="6" a="1"/>
  <c r="AE35" i="6" a="1"/>
  <c r="AA61" i="6" a="1"/>
  <c r="AQ36" i="6" a="1"/>
  <c r="V42" i="6" a="1"/>
  <c r="BB96" i="6" a="1"/>
  <c r="BB120" i="6" a="1"/>
  <c r="AB123" i="6" a="1"/>
  <c r="X24" i="6" a="1"/>
  <c r="BD57" i="6" a="1"/>
  <c r="BD42" i="6" a="1"/>
  <c r="BB74" i="6" a="1"/>
  <c r="W72" i="6" a="1"/>
  <c r="X57" i="6" a="1"/>
  <c r="AE125" i="6" a="1"/>
  <c r="AA48" i="6" a="1"/>
  <c r="AR57" i="6" a="1"/>
  <c r="AV39" i="6" a="1"/>
  <c r="AA93" i="6" a="1"/>
  <c r="AX56" i="6" a="1"/>
  <c r="AN70" i="6" a="1"/>
  <c r="U102" i="6" a="1"/>
  <c r="BC33" i="6" a="1"/>
  <c r="BA43" i="6" a="1"/>
  <c r="BB88" i="6" a="1"/>
  <c r="AM61" i="6" a="1"/>
  <c r="V51" i="6" a="1"/>
  <c r="AR75" i="6" a="1"/>
  <c r="AQ73" i="6" a="1"/>
  <c r="AU109" i="6" a="1"/>
  <c r="BA60" i="6" a="1"/>
  <c r="BA72" i="6" a="1"/>
  <c r="U54" i="6" a="1"/>
  <c r="AR32" i="6" a="1"/>
  <c r="U91" i="6" a="1"/>
  <c r="AQ35" i="6" a="1"/>
  <c r="AN30" i="6" a="1"/>
  <c r="U56" i="6" a="1"/>
  <c r="AW24" i="6" a="1"/>
  <c r="AA22" i="6" a="1"/>
  <c r="AR50" i="6" a="1"/>
  <c r="AR34" i="6" a="1"/>
  <c r="V78" i="6" a="1"/>
  <c r="AW45" i="6" a="1"/>
  <c r="BC72" i="6" a="1"/>
  <c r="AY94" i="6" a="1"/>
  <c r="BB34" i="6" a="1"/>
  <c r="AC26" i="6" a="1"/>
  <c r="AE46" i="6" a="1"/>
  <c r="Z79" i="6" a="1"/>
  <c r="W119" i="6" a="1"/>
  <c r="BC121" i="6" a="1"/>
  <c r="AS124" i="6" a="1"/>
  <c r="AK25" i="6" a="1"/>
  <c r="W50" i="6" a="1"/>
  <c r="AP74" i="6" a="1"/>
  <c r="W61" i="6" a="1"/>
  <c r="AQ32" i="6" a="1"/>
  <c r="AU21" i="6" a="1"/>
  <c r="AT98" i="6" a="1"/>
  <c r="AX49" i="6" a="1"/>
  <c r="AC93" i="6" a="1"/>
  <c r="AI41" i="6" a="1"/>
  <c r="AE95" i="6" a="1"/>
  <c r="AI78" i="6" a="1"/>
  <c r="AV109" i="6" a="1"/>
  <c r="W113" i="6" a="1"/>
  <c r="AJ78" i="6" a="1"/>
  <c r="AK59" i="6" a="1"/>
  <c r="AB50" i="6" a="1"/>
  <c r="AK79" i="6" a="1"/>
  <c r="BD48" i="6" a="1"/>
  <c r="AK96" i="6" a="1"/>
  <c r="AV34" i="6" a="1"/>
  <c r="U34" i="6" a="1"/>
  <c r="AR46" i="6" a="1"/>
  <c r="AR71" i="6" a="1"/>
  <c r="AI105" i="6" a="1"/>
  <c r="AT60" i="6" a="1"/>
  <c r="AT73" i="6" a="1"/>
  <c r="U61" i="6" a="1"/>
  <c r="AF92" i="6" a="1"/>
  <c r="W23" i="6" a="1"/>
  <c r="AL84" i="6" a="1"/>
  <c r="AB79" i="6" a="1"/>
  <c r="AJ22" i="6" a="1"/>
  <c r="AO114" i="6" a="1"/>
  <c r="V79" i="6" a="1"/>
  <c r="X53" i="6" a="1"/>
  <c r="AZ57" i="6" a="1"/>
  <c r="AI107" i="6" a="1"/>
  <c r="AP71" i="6" a="1"/>
  <c r="AM118" i="6" a="1"/>
  <c r="AX54" i="6" a="1"/>
  <c r="AI116" i="6" a="1"/>
  <c r="AW120" i="6" a="1"/>
  <c r="W99" i="6" a="1"/>
  <c r="AO48" i="6" a="1"/>
  <c r="AA63" i="6" a="1"/>
  <c r="W91" i="6" a="1"/>
  <c r="AX58" i="6" a="1"/>
  <c r="AV28" i="6" a="1"/>
  <c r="AO122" i="6" a="1"/>
  <c r="AG77" i="6" a="1"/>
  <c r="X109" i="6" a="1"/>
  <c r="AB27" i="6" a="1"/>
  <c r="AR36" i="6" a="1"/>
  <c r="AY97" i="6" a="1"/>
  <c r="U113" i="6" a="1"/>
  <c r="AM22" i="6" a="1"/>
  <c r="AW34" i="6" a="1"/>
  <c r="AV50" i="6" a="1"/>
  <c r="AV54" i="6" a="1"/>
  <c r="X30" i="6" a="1"/>
  <c r="W46" i="6" a="1"/>
  <c r="AF116" i="6" a="1"/>
  <c r="AQ70" i="6" a="1"/>
  <c r="AV60" i="6" a="1"/>
  <c r="AP65" i="6" a="1"/>
  <c r="BD96" i="6" a="1"/>
  <c r="AN119" i="6" a="1"/>
  <c r="AC23" i="6" a="1"/>
  <c r="U31" i="6" a="1"/>
  <c r="AP102" i="6" a="1"/>
  <c r="Y61" i="6" a="1"/>
  <c r="AH32" i="6" a="1"/>
  <c r="AM64" i="6" a="1"/>
  <c r="W68" i="6" a="1"/>
  <c r="AI56" i="6" a="1"/>
  <c r="AY91" i="6" a="1"/>
  <c r="X102" i="6" a="1"/>
  <c r="AH38" i="6" a="1"/>
  <c r="BC22" i="6" a="1"/>
  <c r="BC57" i="6" a="1"/>
  <c r="V25" i="6" a="1"/>
  <c r="AE116" i="6" a="1"/>
  <c r="AH53" i="6" a="1"/>
  <c r="BC42" i="6" a="1"/>
  <c r="AT87" i="6" a="1"/>
  <c r="AF26" i="6" a="1"/>
  <c r="AO71" i="6" a="1"/>
  <c r="AE127" i="6" a="1"/>
  <c r="U29" i="6" a="1"/>
  <c r="AI43" i="6" a="1"/>
  <c r="V88" i="6" a="1"/>
  <c r="AS77" i="6" a="1"/>
  <c r="AI64" i="6" a="1"/>
  <c r="AO91" i="6" a="1"/>
  <c r="AA121" i="6" a="1"/>
  <c r="BB123" i="6" a="1"/>
  <c r="AP85" i="6" a="1"/>
  <c r="AZ115" i="6" a="1"/>
  <c r="AD65" i="6" a="1"/>
  <c r="BD31" i="6" a="1"/>
  <c r="BA65" i="6" a="1"/>
  <c r="AQ128" i="6" a="1"/>
  <c r="AX74" i="6" a="1"/>
  <c r="AR81" i="6" a="1"/>
  <c r="AB125" i="6" a="1"/>
  <c r="AM80" i="6" a="1"/>
  <c r="AY35" i="6" a="1"/>
  <c r="Y109" i="6" a="1"/>
  <c r="AM123" i="6" a="1"/>
  <c r="U35" i="6" a="1"/>
  <c r="AM87" i="6" a="1"/>
  <c r="AM41" i="6" a="1"/>
  <c r="AK95" i="6" a="1"/>
  <c r="BC87" i="6" a="1"/>
  <c r="AG96" i="6" a="1"/>
  <c r="AO109" i="6" a="1"/>
  <c r="AR63" i="6" a="1"/>
  <c r="AC57" i="6" a="1"/>
  <c r="BD67" i="6" a="1"/>
  <c r="AP61" i="6" a="1"/>
  <c r="AK76" i="6" a="1"/>
  <c r="AE112" i="6" a="1"/>
  <c r="BC78" i="6" a="1"/>
  <c r="AC42" i="6" a="1"/>
  <c r="BB59" i="6" a="1"/>
  <c r="X125" i="6" a="1"/>
  <c r="AH73" i="6" a="1"/>
  <c r="AH121" i="6" a="1"/>
  <c r="AL65" i="6" a="1"/>
  <c r="AP109" i="6" a="1"/>
  <c r="X95" i="6" a="1"/>
  <c r="AL47" i="6" a="1"/>
  <c r="AS68" i="6" a="1"/>
  <c r="AJ24" i="6" a="1"/>
  <c r="W116" i="6" a="1"/>
  <c r="AN101" i="6" a="1"/>
  <c r="Y54" i="6" a="1"/>
  <c r="AS126" i="6" a="1"/>
  <c r="AL106" i="6" a="1"/>
  <c r="V123" i="6" a="1"/>
  <c r="U55" i="6" a="1"/>
  <c r="W52" i="6" a="1"/>
  <c r="AB65" i="6" a="1"/>
  <c r="AV91" i="6" a="1"/>
  <c r="U68" i="6" a="1"/>
  <c r="AW54" i="6" a="1"/>
  <c r="AC67" i="6" a="1"/>
  <c r="AY56" i="6" a="1"/>
  <c r="AZ94" i="6" a="1"/>
  <c r="AB28" i="6" a="1"/>
  <c r="AK106" i="6" a="1"/>
  <c r="W98" i="6" a="1"/>
  <c r="AM120" i="6" a="1"/>
  <c r="AE31" i="6" a="1"/>
  <c r="AU45" i="6" a="1"/>
  <c r="AY61" i="6" a="1"/>
  <c r="AU64" i="6" a="1"/>
  <c r="BA64" i="6" a="1"/>
  <c r="AL39" i="6" a="1"/>
  <c r="BB73" i="6" a="1"/>
  <c r="AF63" i="6" a="1"/>
  <c r="AT41" i="6" a="1"/>
  <c r="AQ107" i="6" a="1"/>
  <c r="AW40" i="6" a="1"/>
  <c r="AP73" i="6" a="1"/>
  <c r="W93" i="6" a="1"/>
  <c r="AD27" i="6" a="1"/>
  <c r="AN124" i="6" a="1"/>
  <c r="AF41" i="6" a="1"/>
  <c r="AU119" i="6" a="1"/>
  <c r="AF114" i="6" a="1"/>
  <c r="AU106" i="6" a="1"/>
  <c r="X86" i="6" a="1"/>
  <c r="AV115" i="6" a="1"/>
  <c r="X27" i="6" a="1"/>
  <c r="AM121" i="6" a="1"/>
  <c r="U112" i="6" a="1"/>
  <c r="AK43" i="6" a="1"/>
  <c r="BB22" i="6" a="1"/>
  <c r="AJ31" i="6" a="1"/>
  <c r="BB97" i="6" a="1"/>
  <c r="AW31" i="6" a="1"/>
  <c r="AW50" i="6" a="1"/>
  <c r="Y83" i="6" a="1"/>
  <c r="AG36" i="6" a="1"/>
  <c r="AA95" i="6" a="1"/>
  <c r="AD124" i="6" a="1"/>
  <c r="AV66" i="6" a="1"/>
  <c r="AS108" i="6" a="1"/>
  <c r="V94" i="6" a="1"/>
  <c r="AI114" i="6" a="1"/>
  <c r="AU94" i="6" a="1"/>
  <c r="AK39" i="6" a="1"/>
  <c r="BD41" i="6" a="1"/>
  <c r="BA32" i="6" a="1"/>
  <c r="AT94" i="6" a="1"/>
  <c r="X111" i="6" a="1"/>
  <c r="AP80" i="6" a="1"/>
  <c r="BD37" i="6" a="1"/>
  <c r="BD75" i="6" a="1"/>
  <c r="AB83" i="6" a="1"/>
  <c r="AW98" i="6" a="1"/>
  <c r="AZ104" i="6" a="1"/>
  <c r="AC22" i="6" a="1"/>
  <c r="AT67" i="6" a="1"/>
  <c r="AY118" i="6" a="1"/>
  <c r="AX41" i="6" a="1"/>
  <c r="AM110" i="6" a="1"/>
  <c r="AI62" i="6" a="1"/>
  <c r="AB76" i="6" a="1"/>
  <c r="AP107" i="6" a="1"/>
  <c r="AD67" i="6" a="1"/>
  <c r="V108" i="6" a="1"/>
  <c r="AV106" i="6" a="1"/>
  <c r="AH125" i="6" a="1"/>
  <c r="BC80" i="6" a="1"/>
  <c r="X64" i="6" a="1"/>
  <c r="AI33" i="6" a="1"/>
  <c r="AF32" i="6" a="1"/>
  <c r="AZ41" i="6" a="1"/>
  <c r="AL45" i="6" a="1"/>
  <c r="AP21" i="6" a="1"/>
  <c r="AX108" i="6" a="1"/>
  <c r="AD70" i="6" a="1"/>
  <c r="AX106" i="6" a="1"/>
  <c r="BC125" i="6" a="1"/>
  <c r="AI57" i="6" a="1"/>
  <c r="X78" i="6" a="1"/>
  <c r="AA114" i="6" a="1"/>
  <c r="V57" i="6" a="1"/>
  <c r="AH128" i="6" a="1"/>
  <c r="AR98" i="6" a="1"/>
  <c r="BD94" i="6" a="1"/>
  <c r="AV81" i="6" a="1"/>
  <c r="V109" i="6" a="1"/>
  <c r="AA80" i="6" a="1"/>
  <c r="AJ62" i="6" a="1"/>
  <c r="AE83" i="6" a="1"/>
  <c r="Z55" i="6" a="1"/>
  <c r="BB55" i="6" a="1"/>
  <c r="AJ30" i="6" a="1"/>
  <c r="AS109" i="6" a="1"/>
  <c r="AM44" i="6" a="1"/>
  <c r="AD58" i="6" a="1"/>
  <c r="AC116" i="6" a="1"/>
  <c r="AJ80" i="6" a="1"/>
  <c r="W124" i="6" a="1"/>
  <c r="AC94" i="6" a="1"/>
  <c r="W37" i="6" a="1"/>
  <c r="AO81" i="6" a="1"/>
  <c r="AR123" i="6" a="1"/>
  <c r="AU79" i="6" a="1"/>
  <c r="AS95" i="6" a="1"/>
  <c r="AC121" i="6" a="1"/>
  <c r="AH64" i="6" a="1"/>
  <c r="BB21" i="6" a="1"/>
  <c r="AV48" i="6" a="1"/>
  <c r="AH126" i="6" a="1"/>
  <c r="BD34" i="6" a="1"/>
  <c r="X72" i="6" a="1"/>
  <c r="AC24" i="6" a="1"/>
  <c r="AW36" i="6" a="1"/>
  <c r="BB67" i="6" a="1"/>
  <c r="BC28" i="6" a="1"/>
  <c r="AY98" i="6" a="1"/>
  <c r="Y22" i="6" a="1"/>
  <c r="BC113" i="6" a="1"/>
  <c r="AJ49" i="6" a="1"/>
  <c r="AW41" i="6" a="1"/>
  <c r="AD93" i="6" a="1"/>
  <c r="AN96" i="6" a="1"/>
  <c r="AK92" i="6" a="1"/>
  <c r="AF125" i="6" a="1"/>
  <c r="AV105" i="6" a="1"/>
  <c r="AT104" i="6" a="1"/>
  <c r="AU37" i="6" a="1"/>
  <c r="AH33" i="6" a="1"/>
  <c r="AR68" i="6" a="1"/>
  <c r="AX81" i="6" a="1"/>
  <c r="AD86" i="6" a="1"/>
  <c r="AI50" i="6" a="1"/>
  <c r="AX101" i="6" a="1"/>
  <c r="AH77" i="6" a="1"/>
  <c r="AM81" i="6" a="1"/>
  <c r="Y84" i="6" a="1"/>
  <c r="AM42" i="6" a="1"/>
  <c r="AA108" i="6" a="1"/>
  <c r="AR53" i="6" a="1"/>
  <c r="AW76" i="6" a="1"/>
  <c r="X94" i="6" a="1"/>
  <c r="AK36" i="6" a="1"/>
  <c r="AO106" i="6" a="1"/>
  <c r="AX42" i="6" a="1"/>
  <c r="AS75" i="6" a="1"/>
  <c r="Z36" i="6" a="1"/>
  <c r="U39" i="6" a="1"/>
  <c r="AQ83" i="6" a="1"/>
  <c r="AQ55" i="6" a="1"/>
  <c r="W100" i="6" a="1"/>
  <c r="AZ64" i="6" a="1"/>
  <c r="BB127" i="6" a="1"/>
  <c r="AD49" i="6" a="1"/>
  <c r="AH31" i="6" a="1"/>
  <c r="AI26" i="6" a="1"/>
  <c r="AU101" i="6" a="1"/>
  <c r="BA70" i="6" a="1"/>
  <c r="AW124" i="6" a="1"/>
  <c r="AW66" i="6" a="1"/>
  <c r="AG39" i="6" a="1"/>
  <c r="AI23" i="6" a="1"/>
  <c r="AP123" i="6" a="1"/>
  <c r="AB44" i="6" a="1"/>
  <c r="AF38" i="6" a="1"/>
  <c r="X124" i="6" a="1"/>
  <c r="X61" i="6" a="1"/>
  <c r="BA110" i="6" a="1"/>
  <c r="AB33" i="6" a="1"/>
  <c r="AH21" i="6" a="1"/>
  <c r="AH124" i="6" a="1"/>
  <c r="U65" i="6" a="1"/>
  <c r="AN103" i="6" a="1"/>
  <c r="AX21" i="6" a="1"/>
  <c r="X106" i="6" a="1"/>
  <c r="AH90" i="6" a="1"/>
  <c r="BB44" i="6" a="1"/>
  <c r="U51" i="6" a="1"/>
  <c r="AW94" i="6" a="1"/>
  <c r="W115" i="6" a="1"/>
  <c r="AU61" i="6" a="1"/>
  <c r="X58" i="6" a="1"/>
  <c r="X29" i="6" a="1"/>
  <c r="AH106" i="6" a="1"/>
  <c r="AO55" i="6" a="1"/>
  <c r="AV35" i="6" a="1"/>
  <c r="U42" i="6" a="1"/>
  <c r="AO37" i="6" a="1"/>
  <c r="AP111" i="6" a="1"/>
  <c r="AM94" i="6" a="1"/>
  <c r="AD113" i="6" a="1"/>
  <c r="AA82" i="6" a="1"/>
  <c r="BA119" i="6" a="1"/>
  <c r="AE67" i="6" a="1"/>
  <c r="AF42" i="6" a="1"/>
  <c r="Z80" i="6" a="1"/>
  <c r="AQ108" i="6" a="1"/>
  <c r="AU98" i="6" a="1"/>
  <c r="AP58" i="6" a="1"/>
  <c r="AM89" i="6" a="1"/>
  <c r="AB112" i="6" a="1"/>
  <c r="AE52" i="6" a="1"/>
  <c r="AE40" i="6" a="1"/>
  <c r="AR72" i="6" a="1"/>
  <c r="AY120" i="6" a="1"/>
  <c r="AI82" i="6" a="1"/>
  <c r="AJ116" i="6" a="1"/>
  <c r="AS97" i="6" a="1"/>
  <c r="AD98" i="6" a="1"/>
  <c r="U78" i="6" a="1"/>
  <c r="AL71" i="6" a="1"/>
  <c r="AS49" i="6" a="1"/>
  <c r="AH50" i="6" a="1"/>
  <c r="AX93" i="6" a="1"/>
  <c r="U110" i="6" a="1"/>
  <c r="W53" i="6" a="1"/>
  <c r="BB100" i="6" a="1"/>
  <c r="AF31" i="6" a="1"/>
  <c r="AH117" i="6" a="1"/>
  <c r="AN106" i="6" a="1"/>
  <c r="AC112" i="6" a="1"/>
  <c r="AK105" i="6" a="1"/>
  <c r="AK52" i="6" a="1"/>
  <c r="AV33" i="6" a="1"/>
  <c r="AS38" i="6" a="1"/>
  <c r="AJ43" i="6" a="1"/>
  <c r="AG65" i="6" a="1"/>
  <c r="AO25" i="6" a="1"/>
  <c r="AJ45" i="6" a="1"/>
  <c r="AC29" i="6" a="1"/>
  <c r="AS59" i="6" a="1"/>
  <c r="AF69" i="6" a="1"/>
  <c r="Z70" i="6" a="1"/>
  <c r="AE53" i="6" a="1"/>
  <c r="AO113" i="6" a="1"/>
  <c r="AQ100" i="6" a="1"/>
  <c r="W66" i="6" a="1"/>
  <c r="V100" i="6" a="1"/>
  <c r="V70" i="6" a="1"/>
  <c r="AP56" i="6" a="1"/>
  <c r="AM124" i="6" a="1"/>
  <c r="AR58" i="6" a="1"/>
  <c r="AQ54" i="6" a="1"/>
  <c r="AZ61" i="6" a="1"/>
  <c r="AN69" i="6" a="1"/>
  <c r="Z77" i="6" a="1"/>
  <c r="AY121" i="6" a="1"/>
  <c r="AJ101" i="6" a="1"/>
  <c r="AY69" i="6" a="1"/>
  <c r="U104" i="6" a="1"/>
  <c r="BD43" i="6" a="1"/>
  <c r="AR87" i="6" a="1"/>
  <c r="AJ128" i="6" a="1"/>
  <c r="AY52" i="6" a="1"/>
  <c r="AL111" i="6" a="1"/>
  <c r="AU29" i="6" a="1"/>
  <c r="Z113" i="6" a="1"/>
  <c r="AS57" i="6" a="1"/>
  <c r="AE38" i="6" a="1"/>
  <c r="AO85" i="6" a="1"/>
  <c r="AW64" i="6" a="1"/>
  <c r="AP53" i="6" a="1"/>
  <c r="AA33" i="6" a="1"/>
  <c r="AT54" i="6" a="1"/>
  <c r="AX44" i="6" a="1"/>
  <c r="AX25" i="6" a="1"/>
  <c r="W107" i="6" a="1"/>
  <c r="AU128" i="6" a="1"/>
  <c r="AF90" i="6" a="1"/>
  <c r="V80" i="6" a="1"/>
  <c r="Z65" i="6" a="1"/>
  <c r="V99" i="6" a="1"/>
  <c r="BB109" i="6" a="1"/>
  <c r="AN128" i="6" a="1"/>
  <c r="AL24" i="6" a="1"/>
  <c r="BC40" i="6" a="1"/>
  <c r="AO73" i="6" a="1"/>
  <c r="AI68" i="6" a="1"/>
  <c r="BC66" i="6" a="1"/>
  <c r="BB108" i="6" a="1"/>
  <c r="W125" i="6" a="1"/>
  <c r="AZ34" i="6" a="1"/>
  <c r="AG68" i="6" a="1"/>
  <c r="AC54" i="6" a="1"/>
  <c r="AZ106" i="6" a="1"/>
  <c r="AJ47" i="6" a="1"/>
  <c r="AR109" i="6" a="1"/>
  <c r="Z50" i="6" a="1"/>
  <c r="AV44" i="6" a="1"/>
  <c r="X28" i="6" a="1"/>
  <c r="AG93" i="6" a="1"/>
  <c r="AH61" i="6" a="1"/>
  <c r="X39" i="6" a="1"/>
  <c r="AD77" i="6" a="1"/>
  <c r="AI72" i="6" a="1"/>
  <c r="AI81" i="6" a="1"/>
  <c r="AK48" i="6" a="1"/>
  <c r="AE26" i="6" a="1"/>
  <c r="AK72" i="6" a="1"/>
  <c r="AU44" i="6" a="1"/>
  <c r="AB69" i="6" a="1"/>
  <c r="AB48" i="6" a="1"/>
  <c r="AA51" i="6" a="1"/>
  <c r="AM82" i="6" a="1"/>
  <c r="AM117" i="6" a="1"/>
  <c r="AV103" i="6" a="1"/>
  <c r="AN49" i="6" a="1"/>
  <c r="AA40" i="6" a="1"/>
  <c r="U53" i="6" a="1"/>
  <c r="AG82" i="6" a="1"/>
  <c r="AI84" i="6" a="1"/>
  <c r="AO36" i="6" a="1"/>
  <c r="AC118" i="6" a="1"/>
  <c r="BC47" i="6" a="1"/>
  <c r="AQ47" i="6" a="1"/>
  <c r="AG113" i="6" a="1"/>
  <c r="BC86" i="6" a="1"/>
  <c r="AV24" i="6" a="1"/>
  <c r="AR121" i="6" a="1"/>
  <c r="AP98" i="6" a="1"/>
  <c r="AP116" i="6" a="1"/>
  <c r="AI101" i="6" a="1"/>
  <c r="AP81" i="6" a="1"/>
  <c r="AQ99" i="6" a="1"/>
  <c r="AK122" i="6" a="1"/>
  <c r="AS93" i="6" a="1"/>
  <c r="AF89" i="6" a="1"/>
  <c r="AK58" i="6" a="1"/>
  <c r="AX52" i="6" a="1"/>
  <c r="AC61" i="6" a="1"/>
  <c r="AU95" i="6" a="1"/>
  <c r="AQ104" i="6" a="1"/>
  <c r="AE106" i="6" a="1"/>
  <c r="Y72" i="6" a="1"/>
  <c r="AQ64" i="6" a="1"/>
  <c r="BA87" i="6" a="1"/>
  <c r="AP34" i="6" a="1"/>
  <c r="AB82" i="6" a="1"/>
  <c r="Z82" i="6" a="1"/>
  <c r="AK102" i="6" a="1"/>
  <c r="AH123" i="6" a="1"/>
  <c r="AE124" i="6" a="1"/>
  <c r="AT107" i="6" a="1"/>
  <c r="BB70" i="6" a="1"/>
  <c r="BC23" i="6" a="1"/>
  <c r="AK113" i="6" a="1"/>
  <c r="X36" i="6" a="1"/>
  <c r="AJ88" i="6" a="1"/>
  <c r="BB51" i="6" a="1"/>
  <c r="AG86" i="6" a="1"/>
  <c r="AD35" i="6" a="1"/>
  <c r="AI117" i="6" a="1"/>
  <c r="AH22" i="6" a="1"/>
  <c r="Z22" i="6" a="1"/>
  <c r="Z73" i="6" a="1"/>
  <c r="AV47" i="6" a="1"/>
  <c r="AM38" i="6" a="1"/>
  <c r="BC54" i="6" a="1"/>
  <c r="AL126" i="6" a="1"/>
  <c r="BA86" i="6" a="1"/>
  <c r="AO126" i="6" a="1"/>
  <c r="BC120" i="6" a="1"/>
  <c r="AX36" i="6" a="1"/>
  <c r="AR65" i="6" a="1"/>
  <c r="AK38" i="6" a="1"/>
  <c r="U126" i="6" a="1"/>
  <c r="AO57" i="6" a="1"/>
  <c r="AP70" i="6" a="1"/>
  <c r="BB68" i="6" a="1"/>
  <c r="AV97" i="6" a="1"/>
  <c r="AY57" i="6" a="1"/>
  <c r="AJ90" i="6" a="1"/>
  <c r="AW97" i="6" a="1"/>
  <c r="AM54" i="6" a="1"/>
  <c r="AN21" i="6" a="1"/>
  <c r="AH41" i="6" a="1"/>
  <c r="AV102" i="6" a="1"/>
  <c r="AU125" i="6" a="1"/>
  <c r="BB42" i="6" a="1"/>
  <c r="AO49" i="6" a="1"/>
  <c r="Y69" i="6" a="1"/>
  <c r="U76" i="6" a="1"/>
  <c r="AA56" i="6" a="1"/>
  <c r="AM119" i="6" a="1"/>
  <c r="AV96" i="6" a="1"/>
  <c r="AE104" i="6" a="1"/>
  <c r="BA122" i="6" a="1"/>
  <c r="AW68" i="6" a="1"/>
  <c r="AV30" i="6" a="1"/>
  <c r="BD78" i="6" a="1"/>
  <c r="AM63" i="6" a="1"/>
  <c r="AH42" i="6" a="1"/>
  <c r="AK80" i="6" a="1"/>
  <c r="AE55" i="6" a="1"/>
  <c r="BC77" i="6" a="1"/>
  <c r="AO100" i="6" a="1"/>
  <c r="AQ106" i="6" a="1"/>
  <c r="AO75" i="6" a="1"/>
  <c r="X116" i="6" a="1"/>
  <c r="AD108" i="6" a="1"/>
  <c r="AG58" i="6" a="1"/>
  <c r="BB26" i="6" a="1"/>
  <c r="AC47" i="6" a="1"/>
  <c r="V105" i="6" a="1"/>
  <c r="U49" i="6" a="1"/>
  <c r="AE36" i="6" a="1"/>
  <c r="AY49" i="6" a="1"/>
  <c r="Z85" i="6" a="1"/>
  <c r="AA54" i="6" a="1"/>
  <c r="AE122" i="6" a="1"/>
  <c r="AU22" i="6" a="1"/>
  <c r="AS80" i="6" a="1"/>
  <c r="AF61" i="6" a="1"/>
  <c r="AA53" i="6" a="1"/>
  <c r="AI27" i="6" a="1"/>
  <c r="AL90" i="6" a="1"/>
  <c r="BD50" i="6" a="1"/>
  <c r="U90" i="6" a="1"/>
  <c r="AC87" i="6" a="1"/>
  <c r="Z103" i="6" a="1"/>
  <c r="U115" i="6" a="1"/>
  <c r="AT121" i="6" a="1"/>
  <c r="AP91" i="6" a="1"/>
  <c r="BC43" i="6" a="1"/>
  <c r="Z121" i="6" a="1"/>
  <c r="Z74" i="6" a="1"/>
  <c r="AI48" i="6" a="1"/>
  <c r="AG125" i="6" a="1"/>
  <c r="Z34" i="6" a="1"/>
  <c r="AZ72" i="6" a="1"/>
  <c r="AD116" i="6" a="1"/>
  <c r="AW84" i="6" a="1"/>
  <c r="AT55" i="6" a="1"/>
  <c r="AU23" i="6" a="1"/>
  <c r="AO120" i="6" a="1"/>
  <c r="AH83" i="6" a="1"/>
  <c r="U21" i="6" a="1"/>
  <c r="AF44" i="6" a="1"/>
  <c r="AG97" i="6" a="1"/>
  <c r="AH99" i="6" a="1"/>
  <c r="AH40" i="6" a="1"/>
  <c r="AE105" i="6" a="1"/>
  <c r="AK87" i="6" a="1"/>
  <c r="AD37" i="6" a="1"/>
  <c r="AW65" i="6" a="1"/>
  <c r="AR101" i="6" a="1"/>
  <c r="BA44" i="6" a="1"/>
  <c r="AS67" i="6" a="1"/>
  <c r="Z86" i="6" a="1"/>
  <c r="AE33" i="6" a="1"/>
  <c r="BA82" i="6" a="1"/>
  <c r="AB121" i="6" a="1"/>
  <c r="AD87" i="6" a="1"/>
  <c r="U52" i="6" a="1"/>
  <c r="U45" i="6" a="1"/>
  <c r="AO64" i="6" a="1"/>
  <c r="AG59" i="6" a="1"/>
  <c r="BA42" i="6" a="1"/>
  <c r="AL99" i="6" a="1"/>
  <c r="AI92" i="6" a="1"/>
  <c r="AT39" i="6" a="1"/>
  <c r="AR108" i="6" a="1"/>
  <c r="AF102" i="6" a="1"/>
  <c r="BD91" i="6" a="1"/>
  <c r="BB25" i="6" a="1"/>
  <c r="AA76" i="6" a="1"/>
  <c r="AQ38" i="6" a="1"/>
  <c r="AL43" i="6" a="1"/>
  <c r="U83" i="6" a="1"/>
  <c r="AH102" i="6" a="1"/>
  <c r="AG106" i="6" a="1"/>
  <c r="W95" i="6" a="1"/>
  <c r="BA85" i="6" a="1"/>
  <c r="BC109" i="6" a="1"/>
  <c r="AC119" i="6" a="1"/>
  <c r="AV27" i="6" a="1"/>
  <c r="AO21" i="6" a="1"/>
  <c r="AT119" i="6" a="1"/>
  <c r="AF106" i="6" a="1"/>
  <c r="AZ58" i="6" a="1"/>
  <c r="AZ86" i="6" a="1"/>
  <c r="AY95" i="6" a="1"/>
  <c r="AC97" i="6" a="1"/>
  <c r="AI77" i="6" a="1"/>
  <c r="AY104" i="6" a="1"/>
  <c r="Z42" i="6" a="1"/>
  <c r="AU70" i="6" a="1"/>
  <c r="X23" i="6" a="1"/>
  <c r="AZ22" i="6" a="1"/>
  <c r="AM67" i="6" a="1"/>
  <c r="AZ67" i="6" a="1"/>
  <c r="AE84" i="6" a="1"/>
  <c r="Z41" i="6" a="1"/>
  <c r="AM105" i="6" a="1"/>
  <c r="AD104" i="6" a="1"/>
  <c r="AV84" i="6" a="1"/>
  <c r="AK54" i="6" a="1"/>
  <c r="AN59" i="6" a="1"/>
  <c r="AK31" i="6" a="1"/>
  <c r="AQ57" i="6" a="1"/>
  <c r="AJ107" i="6" a="1"/>
  <c r="BC82" i="6" a="1"/>
  <c r="AQ84" i="6" a="1"/>
  <c r="AY79" i="6" a="1"/>
  <c r="AA64" i="6" a="1"/>
  <c r="AU81" i="6" a="1"/>
  <c r="Y119" i="6" a="1"/>
  <c r="BA78" i="6" a="1"/>
  <c r="AO99" i="6" a="1"/>
  <c r="AP114" i="6" a="1"/>
  <c r="AO59" i="6" a="1"/>
  <c r="AZ103" i="6" a="1"/>
  <c r="AY106" i="6" a="1"/>
  <c r="AY41" i="6" a="1"/>
  <c r="AU99" i="6" a="1"/>
  <c r="AI115" i="6" a="1"/>
  <c r="X60" i="6" a="1"/>
  <c r="AU72" i="6" a="1"/>
  <c r="AC126" i="6" a="1"/>
  <c r="AZ80" i="6" a="1"/>
  <c r="BB46" i="6" a="1"/>
  <c r="X47" i="6" a="1"/>
  <c r="BA25" i="6" a="1"/>
  <c r="AR47" i="6" a="1"/>
  <c r="AG111" i="6" a="1"/>
  <c r="AP23" i="6" a="1"/>
  <c r="AC64" i="6" a="1"/>
  <c r="AX100" i="6" a="1"/>
  <c r="AX116" i="6" a="1"/>
  <c r="AS112" i="6" a="1"/>
  <c r="AQ87" i="6" a="1"/>
  <c r="AQ117" i="6" a="1"/>
  <c r="AX43" i="6" a="1"/>
  <c r="AQ124" i="6" a="1"/>
  <c r="BC68" i="6" a="1"/>
  <c r="AZ68" i="6" a="1"/>
  <c r="Y60" i="6" a="1"/>
  <c r="AD118" i="6" a="1"/>
  <c r="BD56" i="6" a="1"/>
  <c r="AI76" i="6" a="1"/>
  <c r="AK68" i="6" a="1"/>
  <c r="AU124" i="6" a="1"/>
  <c r="X63" i="6" a="1"/>
  <c r="Z61" i="6" a="1"/>
  <c r="AV128" i="6" a="1"/>
  <c r="BA103" i="6" a="1"/>
  <c r="AB115" i="6" a="1"/>
  <c r="AA55" i="6" a="1"/>
  <c r="X119" i="6" a="1"/>
  <c r="BD77" i="6" a="1"/>
  <c r="U105" i="6" a="1"/>
  <c r="AS50" i="6" a="1"/>
  <c r="BD93" i="6" a="1"/>
  <c r="U82" i="6" a="1"/>
  <c r="AM46" i="6" a="1"/>
  <c r="AA100" i="6" a="1"/>
  <c r="AQ48" i="6" a="1"/>
  <c r="V103" i="6" a="1"/>
  <c r="AV70" i="6" a="1"/>
  <c r="AD38" i="6" a="1"/>
  <c r="AH75" i="6" a="1"/>
  <c r="AB26" i="6" a="1"/>
  <c r="AY25" i="6" a="1"/>
  <c r="AC111" i="6" a="1"/>
  <c r="Z107" i="6" a="1"/>
  <c r="V77" i="6" a="1"/>
  <c r="AV40" i="6" a="1"/>
  <c r="AB74" i="6" a="1"/>
  <c r="AR112" i="6" a="1"/>
  <c r="AX68" i="6" a="1"/>
  <c r="AW22" i="6" a="1"/>
  <c r="AH119" i="6" a="1"/>
  <c r="X89" i="6" a="1"/>
  <c r="AK78" i="6" a="1"/>
  <c r="BC100" i="6" a="1"/>
  <c r="AF50" i="6" a="1"/>
  <c r="AX76" i="6" a="1"/>
  <c r="AD74" i="6" a="1"/>
  <c r="AH112" i="6" a="1"/>
  <c r="AO123" i="6" a="1"/>
  <c r="AA52" i="6" a="1"/>
  <c r="AD122" i="6" a="1"/>
  <c r="AE32" i="6" a="1"/>
  <c r="AA120" i="6" a="1"/>
  <c r="BB78" i="6" a="1"/>
  <c r="AN65" i="6" a="1"/>
  <c r="AK115" i="6" a="1"/>
  <c r="BC122" i="6" a="1"/>
  <c r="AK117" i="6" a="1"/>
  <c r="AD51" i="6" a="1"/>
  <c r="AV85" i="6" a="1"/>
  <c r="AO66" i="6" a="1"/>
  <c r="AY107" i="6" a="1"/>
  <c r="AC114" i="6" a="1"/>
  <c r="AQ110" i="6" a="1"/>
  <c r="AZ100" i="6" a="1"/>
  <c r="AQ88" i="6" a="1"/>
  <c r="AB42" i="6" a="1"/>
  <c r="AE72" i="6" a="1"/>
  <c r="AP120" i="6" a="1"/>
  <c r="AM47" i="6" a="1"/>
  <c r="AW121" i="6" a="1"/>
  <c r="AQ52" i="6" a="1"/>
  <c r="AO76" i="6" a="1"/>
  <c r="U121" i="6" a="1"/>
  <c r="AC102" i="6" a="1"/>
  <c r="V27" i="6" a="1"/>
  <c r="W56" i="6" a="1"/>
  <c r="BB85" i="6" a="1"/>
  <c r="W39" i="6" a="1"/>
  <c r="AA75" i="6" a="1"/>
  <c r="BB104" i="6" a="1"/>
  <c r="AU104" i="6" a="1"/>
  <c r="W30" i="6" a="1"/>
  <c r="Y94" i="6" a="1"/>
  <c r="AJ102" i="6" a="1"/>
  <c r="W63" i="6" a="1"/>
  <c r="AH120" i="6" a="1"/>
  <c r="AH36" i="6" a="1"/>
  <c r="AX80" i="6" a="1"/>
  <c r="Y118" i="6" a="1"/>
  <c r="AF48" i="6" a="1"/>
  <c r="X42" i="6" a="1"/>
  <c r="AC89" i="6" a="1"/>
  <c r="AL92" i="6" a="1"/>
  <c r="AI21" i="6" a="1"/>
  <c r="AB127" i="6" a="1"/>
  <c r="AD26" i="6" a="1"/>
  <c r="AB49" i="6" a="1"/>
  <c r="AE108" i="6" a="1"/>
  <c r="AH72" i="6" a="1"/>
  <c r="AI103" i="6" a="1"/>
  <c r="X33" i="6" a="1"/>
  <c r="AF37" i="6" a="1"/>
  <c r="BB99" i="6" a="1"/>
  <c r="AG108" i="6" a="1"/>
  <c r="Y35" i="6" a="1"/>
  <c r="AO87" i="6" a="1"/>
  <c r="AD114" i="6" a="1"/>
  <c r="U77" i="6" a="1"/>
  <c r="AV62" i="6" a="1"/>
  <c r="AD21" i="6" a="1"/>
  <c r="Y53" i="6" a="1"/>
  <c r="AO77" i="6" a="1"/>
  <c r="AN61" i="6" a="1"/>
  <c r="AR61" i="6" a="1"/>
  <c r="AS58" i="6" a="1"/>
  <c r="AC83" i="6" a="1"/>
  <c r="BD63" i="6" a="1"/>
  <c r="AI22" i="6" a="1"/>
  <c r="Y73" i="6" a="1"/>
  <c r="BB107" i="6" a="1"/>
  <c r="AI120" i="6" a="1"/>
  <c r="BD128" i="6" a="1"/>
  <c r="AM39" i="6" a="1"/>
  <c r="BA113" i="6" a="1"/>
  <c r="AF62" i="6" a="1"/>
  <c r="AM25" i="6" a="1"/>
  <c r="Z62" i="6" a="1"/>
  <c r="X110" i="6" a="1"/>
  <c r="AP72" i="6" a="1"/>
  <c r="AJ124" i="6" a="1"/>
  <c r="AH122" i="6" a="1"/>
  <c r="AK99" i="6" a="1"/>
  <c r="AS99" i="6" a="1"/>
  <c r="BA128" i="6" a="1"/>
  <c r="AF119" i="6" a="1"/>
  <c r="Y123" i="6" a="1"/>
  <c r="AL70" i="6" a="1"/>
  <c r="AD102" i="6" a="1"/>
  <c r="AN40" i="6" a="1"/>
  <c r="AO103" i="6" a="1"/>
  <c r="AM78" i="6" a="1"/>
  <c r="BD92" i="6" a="1"/>
  <c r="AV26" i="6" a="1"/>
  <c r="AX77" i="6" a="1"/>
  <c r="AJ115" i="6" a="1"/>
  <c r="AP29" i="6" a="1"/>
  <c r="BD107" i="6" a="1"/>
  <c r="AV118" i="6" a="1"/>
  <c r="X118" i="6" a="1"/>
  <c r="AF86" i="6" a="1"/>
  <c r="BA108" i="6" a="1"/>
  <c r="Z32" i="6" a="1"/>
  <c r="AL61" i="6" a="1"/>
  <c r="AB67" i="6" a="1"/>
  <c r="AT70" i="6" a="1"/>
  <c r="AK81" i="6" a="1"/>
  <c r="W48" i="6" a="1"/>
  <c r="AV73" i="6" a="1"/>
  <c r="AE61" i="6" a="1"/>
  <c r="X128" i="6" a="1"/>
  <c r="BC60" i="6" a="1"/>
  <c r="AT102" i="6" a="1"/>
  <c r="BD110" i="6" a="1"/>
  <c r="AC115" i="6" a="1"/>
  <c r="BD33" i="6" a="1"/>
  <c r="AA107" i="6" a="1"/>
  <c r="AM85" i="6" a="1"/>
  <c r="BB79" i="6" a="1"/>
  <c r="Y36" i="6" a="1"/>
  <c r="BD45" i="6" a="1"/>
  <c r="AG52" i="6" a="1"/>
  <c r="AG67" i="6" a="1"/>
  <c r="AQ59" i="6" a="1"/>
  <c r="AR94" i="6" a="1"/>
  <c r="BB114" i="6" a="1"/>
  <c r="BB57" i="6" a="1"/>
  <c r="AZ49" i="6" a="1"/>
  <c r="AM96" i="6" a="1"/>
  <c r="AU76" i="6" a="1"/>
  <c r="AS73" i="6" a="1"/>
  <c r="AF22" i="6" a="1"/>
  <c r="AL62" i="6" a="1"/>
  <c r="AH23" i="6" a="1"/>
  <c r="AQ91" i="6" a="1"/>
  <c r="Y39" i="6" a="1"/>
  <c r="AF70" i="6" a="1"/>
  <c r="Y34" i="6" a="1"/>
  <c r="AE62" i="6" a="1"/>
  <c r="AP35" i="6" a="1"/>
  <c r="BD74" i="6" a="1"/>
  <c r="AW119" i="6" a="1"/>
  <c r="V95" i="6" a="1"/>
  <c r="AB103" i="6" a="1"/>
  <c r="Z67" i="6" a="1"/>
  <c r="AW23" i="6" a="1"/>
  <c r="U75" i="6" a="1"/>
  <c r="AN79" i="6" a="1"/>
  <c r="AL60" i="6" a="1"/>
  <c r="AR70" i="6" a="1"/>
  <c r="AY110" i="6" a="1"/>
  <c r="AN48" i="6" a="1"/>
  <c r="Y52" i="6" a="1"/>
  <c r="Z57" i="6" a="1"/>
  <c r="AV99" i="6" a="1"/>
  <c r="AC48" i="6" a="1"/>
  <c r="AH55" i="6" a="1"/>
  <c r="AL116" i="6" a="1"/>
  <c r="AG80" i="6" a="1"/>
  <c r="AZ51" i="6" a="1"/>
  <c r="BD73" i="6" a="1"/>
  <c r="AP90" i="6" a="1"/>
  <c r="AM109" i="6" a="1"/>
  <c r="AI98" i="6" a="1"/>
  <c r="BA125" i="6" a="1"/>
  <c r="AG117" i="6" a="1"/>
  <c r="AK29" i="6" a="1"/>
  <c r="BD69" i="6" a="1"/>
  <c r="AB53" i="6" a="1"/>
  <c r="AZ89" i="6" a="1"/>
  <c r="AA87" i="6" a="1"/>
  <c r="AN46" i="6" a="1"/>
  <c r="BD66" i="6" a="1"/>
  <c r="AF46" i="6" a="1"/>
  <c r="BC41" i="6" a="1"/>
  <c r="AC62" i="6" a="1"/>
  <c r="BD86" i="6" a="1"/>
  <c r="AP38" i="6" a="1"/>
  <c r="AT116" i="6" a="1"/>
  <c r="AT127" i="6" a="1"/>
  <c r="Z101" i="6" a="1"/>
  <c r="AE77" i="6" a="1"/>
  <c r="BA99" i="6" a="1"/>
  <c r="AV45" i="6" a="1"/>
  <c r="AS111" i="6" a="1"/>
  <c r="Z53" i="6" a="1"/>
  <c r="BC103" i="6" a="1"/>
  <c r="AC95" i="6" a="1"/>
  <c r="AN116" i="6" a="1"/>
  <c r="U92" i="6" a="1"/>
  <c r="AS118" i="6" a="1"/>
  <c r="V90" i="6" a="1"/>
  <c r="AJ92" i="6" a="1"/>
  <c r="AH96" i="6" a="1"/>
  <c r="AF94" i="6" a="1"/>
  <c r="AC91" i="6" a="1"/>
  <c r="AW99" i="6" a="1"/>
  <c r="AO23" i="6" a="1"/>
  <c r="AX118" i="6" a="1"/>
  <c r="AI109" i="6" a="1"/>
  <c r="AK83" i="6" a="1"/>
  <c r="AB60" i="6" a="1"/>
  <c r="AH69" i="6" a="1"/>
  <c r="AL88" i="6" a="1"/>
  <c r="BB77" i="6" a="1"/>
  <c r="U111" i="6" a="1"/>
  <c r="BD21" i="6" a="1"/>
  <c r="AO110" i="6" a="1"/>
  <c r="AN104" i="6" a="1"/>
  <c r="Y24" i="6" a="1"/>
  <c r="AS31" i="6" a="1"/>
  <c r="AX71" i="6" a="1"/>
  <c r="U87" i="6" a="1"/>
  <c r="AT113" i="6" a="1"/>
  <c r="AY43" i="6" a="1"/>
  <c r="AF73" i="6" a="1"/>
  <c r="Y21" i="6" a="1"/>
  <c r="AU56" i="6" a="1"/>
  <c r="AD78" i="6" a="1"/>
  <c r="AV125" i="6" a="1"/>
  <c r="AP115" i="6" a="1"/>
  <c r="AK107" i="6" a="1"/>
  <c r="AI36" i="6" a="1"/>
  <c r="AG128" i="6" a="1"/>
  <c r="AF28" i="6" a="1"/>
  <c r="AF55" i="6" a="1"/>
  <c r="AG115" i="6" a="1"/>
  <c r="AN68" i="6" a="1"/>
  <c r="AD128" i="6" a="1"/>
  <c r="BB98" i="6" a="1"/>
  <c r="AS30" i="6" a="1"/>
  <c r="AC56" i="6" a="1"/>
  <c r="Z71" i="6" a="1"/>
  <c r="AW42" i="6" a="1"/>
  <c r="AD111" i="6" a="1"/>
  <c r="AD56" i="6" a="1"/>
  <c r="BD76" i="6" a="1"/>
  <c r="AU103" i="6" a="1"/>
  <c r="AW111" i="6" a="1"/>
  <c r="AD46" i="6" a="1"/>
  <c r="Z122" i="6" a="1"/>
  <c r="AN108" i="6" a="1"/>
  <c r="AV65" i="6" a="1"/>
  <c r="AE23" i="6" a="1"/>
  <c r="AT88" i="6" a="1"/>
  <c r="AS54" i="6" a="1"/>
  <c r="BC85" i="6" a="1"/>
  <c r="AH92" i="6" a="1"/>
  <c r="V43" i="6" a="1"/>
  <c r="AM35" i="6" a="1"/>
  <c r="AC124" i="6" a="1"/>
  <c r="V121" i="6" a="1"/>
  <c r="AO107" i="6" a="1"/>
  <c r="U100" i="6" a="1"/>
  <c r="Z35" i="6" a="1"/>
  <c r="U60" i="6" a="1"/>
  <c r="AG66" i="6" a="1"/>
  <c r="V22" i="6" a="1"/>
  <c r="AP106" i="6" a="1"/>
  <c r="BA117" i="6" a="1"/>
  <c r="AE58" i="6" a="1"/>
  <c r="AK121" i="6" a="1"/>
  <c r="X105" i="6" a="1"/>
  <c r="AJ79" i="6" a="1"/>
  <c r="AH37" i="6" a="1"/>
  <c r="AF68" i="6" a="1"/>
  <c r="AM95" i="6" a="1"/>
  <c r="BB115" i="6" a="1"/>
  <c r="AM27" i="6" a="1"/>
  <c r="V29" i="6" a="1"/>
  <c r="X114" i="6" a="1"/>
  <c r="BC117" i="6" a="1"/>
  <c r="AO68" i="6" a="1"/>
  <c r="AU88" i="6" a="1"/>
  <c r="AZ125" i="6" a="1"/>
  <c r="AL95" i="6" a="1"/>
  <c r="AN109" i="6" a="1"/>
  <c r="AL98" i="6" a="1"/>
  <c r="W121" i="6" a="1"/>
  <c r="AV122" i="6" a="1"/>
  <c r="AG127" i="6" a="1"/>
  <c r="AA127" i="6" a="1"/>
  <c r="U67" i="6" a="1"/>
  <c r="AD110" i="6" a="1"/>
  <c r="AU55" i="6" a="1"/>
  <c r="AO102" i="6" a="1"/>
  <c r="AX107" i="6" a="1"/>
  <c r="BC46" i="6" a="1"/>
  <c r="AO47" i="6" a="1"/>
  <c r="AK45" i="6" a="1"/>
  <c r="AO28" i="6" a="1"/>
  <c r="AP92" i="6" a="1"/>
  <c r="AG95" i="6" a="1"/>
  <c r="AJ85" i="6" a="1"/>
  <c r="V36" i="6" a="1"/>
  <c r="AS66" i="6" a="1"/>
  <c r="AO116" i="6" a="1"/>
  <c r="AB56" i="6" a="1"/>
  <c r="AX39" i="6" a="1"/>
  <c r="AM115" i="6" a="1"/>
  <c r="X113" i="6" a="1"/>
  <c r="AJ56" i="6" a="1"/>
  <c r="BC127" i="6" a="1"/>
  <c r="AF108" i="6" a="1"/>
  <c r="BC108" i="6" a="1"/>
  <c r="AK103" i="6" a="1"/>
  <c r="AY113" i="6" a="1"/>
  <c r="BA31" i="6" a="1"/>
  <c r="AU36" i="6" a="1"/>
  <c r="AW38" i="6" a="1"/>
  <c r="AV32" i="6" a="1"/>
  <c r="Z109" i="6" a="1"/>
  <c r="AY45" i="6" a="1"/>
  <c r="U28" i="6" a="1"/>
  <c r="AE69" i="6" a="1"/>
  <c r="V66" i="6" a="1"/>
  <c r="AI118" i="6" a="1"/>
  <c r="X123" i="6" a="1"/>
  <c r="AP27" i="6" a="1"/>
  <c r="Y78" i="6" a="1"/>
  <c r="AP104" i="6" a="1"/>
  <c r="AW93" i="6" a="1"/>
  <c r="V46" i="6" a="1"/>
  <c r="AP97" i="6" a="1"/>
  <c r="AV120" i="6" a="1"/>
  <c r="W32" i="6" a="1"/>
  <c r="BA116" i="6" a="1"/>
  <c r="AP39" i="6" a="1"/>
  <c r="AX59" i="6" a="1"/>
  <c r="AZ50" i="6" a="1"/>
  <c r="AL125" i="6" a="1"/>
  <c r="AZ30" i="6" a="1"/>
  <c r="Y97" i="6" a="1"/>
  <c r="V127" i="6" a="1"/>
  <c r="AW102" i="6" a="1"/>
  <c r="AO56" i="6" a="1"/>
  <c r="AT80" i="6" a="1"/>
  <c r="AR127" i="6" a="1"/>
  <c r="AO80" i="6" a="1"/>
  <c r="AX128" i="6" a="1"/>
  <c r="AY32" i="6" a="1"/>
  <c r="AL96" i="6" a="1"/>
  <c r="BD58" i="6" a="1"/>
  <c r="AP54" i="6" a="1"/>
  <c r="AB86" i="6" a="1"/>
  <c r="Z23" i="6" a="1"/>
  <c r="AT105" i="6" a="1"/>
  <c r="AD127" i="6" a="1"/>
  <c r="AW90" i="6" a="1"/>
  <c r="AK55" i="6" a="1"/>
  <c r="AN110" i="6" a="1"/>
  <c r="BD72" i="6" a="1"/>
  <c r="V68" i="6" a="1"/>
  <c r="AD52" i="6" a="1"/>
  <c r="AT120" i="6" a="1"/>
  <c r="AX104" i="6" a="1"/>
  <c r="AN114" i="6" a="1"/>
  <c r="AU50" i="6" a="1"/>
  <c r="AL38" i="6" a="1"/>
  <c r="AM102" i="6" a="1"/>
  <c r="AY105" i="6" a="1"/>
  <c r="V73" i="6" a="1"/>
  <c r="W80" i="6" a="1"/>
  <c r="AY93" i="6" a="1"/>
  <c r="AE80" i="6" a="1"/>
  <c r="AO43" i="6" a="1"/>
  <c r="BD46" i="6" a="1"/>
  <c r="AH35" i="6" a="1"/>
  <c r="AT48" i="6" a="1"/>
  <c r="AO95" i="6" a="1"/>
  <c r="AG105" i="6" a="1"/>
  <c r="X21" i="6" a="1"/>
  <c r="AX37" i="6" a="1"/>
  <c r="BA53" i="6" a="1"/>
  <c r="Y40" i="6" a="1"/>
  <c r="AC69" i="6" a="1"/>
  <c r="AN44" i="6" a="1"/>
  <c r="BC56" i="6" a="1"/>
  <c r="AQ66" i="6" a="1"/>
  <c r="AG90" i="6" a="1"/>
  <c r="BC102" i="6" a="1"/>
  <c r="AJ112" i="6" a="1"/>
  <c r="AN123" i="6" a="1"/>
  <c r="W59" i="6" a="1"/>
  <c r="AC46" i="6" a="1"/>
  <c r="AR114" i="6" a="1"/>
  <c r="AN23" i="6" a="1"/>
  <c r="AS103" i="6" a="1"/>
  <c r="AT37" i="6" a="1"/>
  <c r="AL123" i="6" a="1"/>
  <c r="BB125" i="6" a="1"/>
  <c r="AU117" i="6" a="1"/>
  <c r="X56" i="6" a="1"/>
  <c r="U99" i="6" a="1"/>
  <c r="BA126" i="6" a="1"/>
  <c r="BA23" i="6" a="1"/>
  <c r="AS100" i="6" a="1"/>
  <c r="W85" i="6" a="1"/>
  <c r="BA118" i="6" a="1"/>
  <c r="AE79" i="6" a="1"/>
  <c r="AQ125" i="6" a="1"/>
  <c r="AQ127" i="6" a="1"/>
  <c r="AG32" i="6" a="1"/>
  <c r="W51" i="6" a="1"/>
  <c r="AX88" i="6" a="1"/>
  <c r="AW115" i="6" a="1"/>
  <c r="AK112" i="6" a="1"/>
  <c r="BC69" i="6" a="1"/>
  <c r="AA37" i="6" a="1"/>
  <c r="BB27" i="6" a="1"/>
  <c r="BA112" i="6" a="1"/>
  <c r="U38" i="6" a="1"/>
  <c r="AL100" i="6" a="1"/>
  <c r="Z123" i="6" a="1"/>
  <c r="AZ88" i="6" a="1"/>
  <c r="W109" i="6" a="1"/>
  <c r="AI58" i="6" a="1"/>
  <c r="AA32" i="6" a="1"/>
  <c r="AX127" i="6" a="1"/>
  <c r="W82" i="6" a="1"/>
  <c r="AX62" i="6" a="1"/>
  <c r="AM31" i="6" a="1"/>
  <c r="AT38" i="6" a="1"/>
  <c r="AI96" i="6" a="1"/>
  <c r="AE65" i="6" a="1"/>
  <c r="Y93" i="6" a="1"/>
  <c r="AO89" i="6" a="1"/>
  <c r="AR95" i="6" a="1"/>
  <c r="BC106" i="6" a="1"/>
  <c r="AT25" i="6" a="1"/>
  <c r="AT124" i="6" a="1"/>
  <c r="AU46" i="6" a="1"/>
  <c r="AK23" i="6" a="1"/>
  <c r="AH89" i="6" a="1"/>
  <c r="AL87" i="6" a="1"/>
  <c r="AI85" i="6" a="1"/>
  <c r="AG46" i="6" a="1"/>
  <c r="AB72" i="6" a="1"/>
  <c r="Y121" i="6" a="1"/>
  <c r="AW83" i="6" a="1"/>
  <c r="AH44" i="6" a="1"/>
  <c r="AF58" i="6" a="1"/>
  <c r="AN73" i="6" a="1"/>
  <c r="AT61" i="6" a="1"/>
  <c r="AI99" i="6" a="1"/>
  <c r="AC108" i="6" a="1"/>
  <c r="AV89" i="6" a="1"/>
  <c r="AJ76" i="6" a="1"/>
  <c r="AW92" i="6" a="1"/>
  <c r="AQ77" i="6" a="1"/>
  <c r="BB60" i="6" a="1"/>
  <c r="BC50" i="6" a="1"/>
  <c r="W105" i="6" a="1"/>
  <c r="AT21" i="6" a="1"/>
  <c r="AJ77" i="6" a="1"/>
  <c r="AM127" i="6" a="1"/>
  <c r="AL124" i="6" a="1"/>
  <c r="AK34" i="6" a="1"/>
  <c r="Y105" i="6" a="1"/>
  <c r="AM111" i="6" a="1"/>
  <c r="AC82" i="6" a="1"/>
  <c r="AF60" i="6" a="1"/>
  <c r="BB119" i="6" a="1"/>
  <c r="W106" i="6" a="1"/>
  <c r="BD36" i="6" a="1"/>
  <c r="AH81" i="6" a="1"/>
  <c r="AZ85" i="6" a="1"/>
  <c r="AS105" i="6" a="1"/>
  <c r="AJ72" i="6" a="1"/>
  <c r="BD70" i="6" a="1"/>
  <c r="Z81" i="6" a="1"/>
  <c r="X93" i="6" a="1"/>
  <c r="W67" i="6" a="1"/>
  <c r="U43" i="6" a="1"/>
  <c r="AT84" i="6" a="1"/>
  <c r="Z33" i="6" a="1"/>
  <c r="AN34" i="6" a="1"/>
  <c r="AN28" i="6" a="1"/>
  <c r="AG103" i="6" a="1"/>
  <c r="AT52" i="6" a="1"/>
  <c r="AP87" i="6" a="1"/>
  <c r="AQ67" i="6" a="1"/>
  <c r="AF35" i="6" a="1"/>
  <c r="AS76" i="6" a="1"/>
  <c r="U41" i="6" a="1"/>
  <c r="AL68" i="6" a="1"/>
  <c r="AS62" i="6" a="1"/>
  <c r="BA55" i="6" a="1"/>
  <c r="AM21" i="6" a="1"/>
  <c r="AY116" i="6" a="1"/>
  <c r="AA28" i="6" a="1"/>
  <c r="W21" i="6" a="1"/>
  <c r="AZ56" i="6" a="1"/>
  <c r="AZ82" i="6" a="1"/>
  <c r="AT114" i="6" a="1"/>
  <c r="AX97" i="6" a="1"/>
  <c r="AG42" i="6" a="1"/>
  <c r="BA88" i="6" a="1"/>
  <c r="AL75" i="6" a="1"/>
  <c r="AC110" i="6" a="1"/>
  <c r="AS47" i="6" a="1"/>
  <c r="AN125" i="6" a="1"/>
  <c r="AS65" i="6" a="1"/>
  <c r="AP110" i="6" a="1"/>
  <c r="AE117" i="6" a="1"/>
  <c r="AY123" i="6" a="1"/>
  <c r="AZ114" i="6" a="1"/>
  <c r="AQ111" i="6" a="1"/>
  <c r="AP42" i="6" a="1"/>
  <c r="AU110" i="6" a="1"/>
  <c r="AF126" i="6" a="1"/>
  <c r="AL32" i="6" a="1"/>
  <c r="AK46" i="6" a="1"/>
  <c r="Z64" i="6" a="1"/>
  <c r="AF123" i="6" a="1"/>
  <c r="AW95" i="6" a="1"/>
  <c r="AC70" i="6" a="1"/>
  <c r="X80" i="6" a="1"/>
  <c r="AW39" i="6" a="1"/>
  <c r="AQ46" i="6" a="1"/>
  <c r="AI47" i="6" a="1"/>
  <c r="BC119" i="6" a="1"/>
  <c r="AN100" i="6" a="1"/>
  <c r="AV119" i="6" a="1"/>
  <c r="AB43" i="6" a="1"/>
  <c r="AQ114" i="6" a="1"/>
  <c r="AX121" i="6" a="1"/>
  <c r="AE128" i="6" a="1"/>
  <c r="AP46" i="6" a="1"/>
  <c r="AW78" i="6" a="1"/>
  <c r="W120" i="6" a="1"/>
  <c r="AQ23" i="6" a="1"/>
  <c r="AU32" i="6" a="1"/>
  <c r="AZ70" i="6" a="1"/>
  <c r="AA116" i="6" a="1"/>
  <c r="AX119" i="6" a="1"/>
  <c r="AE90" i="6" a="1"/>
  <c r="AJ86" i="6" a="1"/>
  <c r="Z24" i="6" a="1"/>
  <c r="AA29" i="6" a="1"/>
  <c r="AK98" i="6" a="1"/>
  <c r="AA110" i="6" a="1"/>
  <c r="AN35" i="6" a="1"/>
  <c r="AH113" i="6" a="1"/>
  <c r="AJ120" i="6" a="1"/>
  <c r="AN93" i="6" a="1"/>
  <c r="BC107" i="6" a="1"/>
  <c r="AG85" i="6" a="1"/>
  <c r="AM79" i="6" a="1"/>
  <c r="AU24" i="6" a="1"/>
  <c r="BB43" i="6" a="1"/>
  <c r="BC123" i="6" a="1"/>
  <c r="AS122" i="6" a="1"/>
  <c r="AI110" i="6" a="1"/>
  <c r="AU118" i="6" a="1"/>
  <c r="W73" i="6" a="1"/>
  <c r="AJ100" i="6" a="1"/>
  <c r="V107" i="6" a="1"/>
  <c r="AW49" i="6" a="1"/>
  <c r="W27" i="6" a="1"/>
  <c r="AQ56" i="6" a="1"/>
  <c r="AP96" i="6" a="1"/>
  <c r="AP45" i="6" a="1"/>
  <c r="AT32" i="6" a="1"/>
  <c r="AM59" i="6" a="1"/>
  <c r="W128" i="6" a="1"/>
  <c r="AO119" i="6" a="1"/>
  <c r="AR56" i="6" a="1"/>
  <c r="AZ81" i="6" a="1"/>
  <c r="AB108" i="6" a="1"/>
  <c r="AP127" i="6" a="1"/>
  <c r="AN81" i="6" a="1"/>
  <c r="AP126" i="6" a="1"/>
  <c r="V60" i="6" a="1"/>
  <c r="BB101" i="6" a="1"/>
  <c r="AX35" i="6" a="1"/>
  <c r="AK69" i="6" a="1"/>
  <c r="AO27" i="6" a="1"/>
  <c r="AE49" i="6" a="1"/>
  <c r="BA106" i="6" a="1"/>
  <c r="AI59" i="6" a="1"/>
  <c r="BB83" i="6" a="1"/>
  <c r="W118" i="6" a="1"/>
  <c r="AO82" i="6" a="1"/>
  <c r="AR117" i="6" a="1"/>
  <c r="AJ63" i="6" a="1"/>
  <c r="U97" i="6" a="1"/>
  <c r="AG101" i="6" a="1"/>
  <c r="AX48" i="6" a="1"/>
  <c r="AY92" i="6" a="1"/>
  <c r="AZ47" i="6" a="1"/>
  <c r="AY102" i="6" a="1"/>
  <c r="AP47" i="6" a="1"/>
  <c r="BB62" i="6" a="1"/>
  <c r="AC34" i="6" a="1"/>
  <c r="AK37" i="6" a="1"/>
  <c r="AM71" i="6" a="1"/>
  <c r="AF74" i="6" a="1"/>
  <c r="AT106" i="6" a="1"/>
  <c r="AU31" i="6" a="1"/>
  <c r="AM106" i="6" a="1"/>
  <c r="AC55" i="6" a="1"/>
  <c r="AZ95" i="6" a="1"/>
  <c r="V44" i="6" a="1"/>
  <c r="BC114" i="6" a="1"/>
  <c r="AH39" i="6" a="1"/>
  <c r="AD63" i="6" a="1"/>
  <c r="AC128" i="6" a="1"/>
  <c r="AW82" i="6" a="1"/>
  <c r="AZ93" i="6" a="1"/>
  <c r="AU28" i="6" a="1"/>
  <c r="AD42" i="6" a="1"/>
  <c r="Y117" i="6" a="1"/>
  <c r="AI87" i="6" a="1"/>
  <c r="BA98" i="6" a="1"/>
  <c r="AG61" i="6" a="1"/>
  <c r="AK86" i="6" a="1"/>
  <c r="AN39" i="6" a="1"/>
  <c r="AU40" i="6" a="1"/>
  <c r="AW51" i="6" a="1"/>
  <c r="AE75" i="6" a="1"/>
  <c r="AI88" i="6" a="1"/>
  <c r="AL50" i="6" a="1"/>
  <c r="AN25" i="6" a="1"/>
  <c r="AY96" i="6" a="1"/>
  <c r="AK49" i="6" a="1"/>
  <c r="AA126" i="6" a="1"/>
  <c r="X73" i="6" a="1"/>
  <c r="AY71" i="6" a="1"/>
  <c r="BD80" i="6" a="1"/>
  <c r="AP57" i="6" a="1"/>
  <c r="AR84" i="6" a="1"/>
  <c r="BC89" i="6" a="1"/>
  <c r="AH43" i="6" a="1"/>
  <c r="AL33" i="6" a="1"/>
  <c r="BA66" i="6" a="1"/>
  <c r="AX84" i="6" a="1"/>
  <c r="AZ107" i="6" a="1"/>
  <c r="AP30" i="6" a="1"/>
  <c r="AG45" i="6" a="1"/>
  <c r="BB37" i="6" a="1"/>
  <c r="AO63" i="6" a="1"/>
  <c r="AO67" i="6" a="1"/>
  <c r="AO97" i="6" a="1"/>
  <c r="BA101" i="6" a="1"/>
  <c r="AG48" i="6" a="1"/>
  <c r="BA45" i="6" a="1"/>
  <c r="AN36" i="6" a="1"/>
  <c r="AU35" i="6" a="1"/>
  <c r="AF88" i="6" a="1"/>
  <c r="AX117" i="6" a="1"/>
  <c r="AA24" i="6" a="1"/>
  <c r="AJ119" i="6" a="1"/>
  <c r="AJ98" i="6" a="1"/>
  <c r="AT83" i="6" a="1"/>
  <c r="V125" i="6" a="1"/>
  <c r="BD112" i="6" a="1"/>
  <c r="V112" i="6" a="1"/>
  <c r="AG121" i="6" a="1"/>
  <c r="BA107" i="6" a="1"/>
  <c r="U36" i="6" a="1"/>
  <c r="AH100" i="6" a="1"/>
  <c r="AS46" i="6" a="1"/>
  <c r="V63" i="6" a="1"/>
  <c r="AU82" i="6" a="1"/>
  <c r="AW128" i="6" a="1"/>
  <c r="AO60" i="6" a="1"/>
  <c r="AA111" i="6" a="1"/>
  <c r="AB113" i="6" a="1"/>
  <c r="AA69" i="6" a="1"/>
  <c r="AS96" i="6" a="1"/>
  <c r="BD113" i="6" a="1"/>
  <c r="BA104" i="6" a="1"/>
  <c r="BD51" i="6" a="1"/>
  <c r="AH58" i="6" a="1"/>
  <c r="AK82" i="6" a="1"/>
  <c r="AW80" i="6" a="1"/>
  <c r="AD59" i="6" a="1"/>
  <c r="X41" i="6" a="1"/>
  <c r="Z59" i="6" a="1"/>
  <c r="AM26" i="6" a="1"/>
  <c r="AP63" i="6" a="1"/>
  <c r="AS116" i="6" a="1"/>
  <c r="AH86" i="6" a="1"/>
  <c r="AD91" i="6" a="1"/>
  <c r="AA109" i="6" a="1"/>
  <c r="AL29" i="6" a="1"/>
  <c r="AI53" i="6" a="1"/>
  <c r="AL107" i="6" a="1"/>
  <c r="AA30" i="6" a="1"/>
  <c r="AQ89" i="6" a="1"/>
  <c r="AO101" i="6" a="1"/>
  <c r="AT95" i="6" a="1"/>
  <c r="AR59" i="6" a="1"/>
  <c r="AY42" i="6" a="1"/>
  <c r="AF100" i="6" a="1"/>
  <c r="AR25" i="6" a="1"/>
  <c r="AU126" i="6" a="1"/>
  <c r="AE74" i="6" a="1"/>
  <c r="AV56" i="6" a="1"/>
  <c r="Z47" i="6" a="1"/>
  <c r="AP89" i="6" a="1"/>
  <c r="X69" i="6" a="1"/>
  <c r="AY75" i="6" a="1"/>
  <c r="AJ99" i="6" a="1"/>
  <c r="AW118" i="6" a="1"/>
  <c r="BB105" i="6" a="1"/>
  <c r="Y64" i="6" a="1"/>
  <c r="AI35" i="6" a="1"/>
  <c r="AD83" i="6" a="1"/>
  <c r="AP60" i="6" a="1"/>
  <c r="AZ120" i="6" a="1"/>
  <c r="U40" i="6" a="1"/>
  <c r="AM33" i="6" a="1"/>
  <c r="AN58" i="6" a="1"/>
  <c r="AZ128" i="6" a="1"/>
  <c r="AN82" i="6" a="1"/>
  <c r="BA89" i="6" a="1"/>
  <c r="AQ101" i="6" a="1"/>
  <c r="AU62" i="6" a="1"/>
  <c r="AI45" i="6" a="1"/>
  <c r="AL117" i="6" a="1"/>
  <c r="BA105" i="6" a="1"/>
  <c r="AW46" i="6" a="1"/>
  <c r="AO54" i="6" a="1"/>
  <c r="AR122" i="6" a="1"/>
  <c r="BC34" i="6" a="1"/>
  <c r="AJ54" i="6" a="1"/>
  <c r="AY88" i="6" a="1"/>
  <c r="X48" i="6" a="1"/>
  <c r="Y30" i="6" a="1"/>
  <c r="Y99" i="6" a="1"/>
  <c r="AP59" i="6" a="1"/>
  <c r="AK40" i="6" a="1"/>
  <c r="AH116" i="6" a="1"/>
  <c r="AL57" i="6" a="1"/>
  <c r="W76" i="6" a="1"/>
  <c r="AM40" i="6" a="1"/>
  <c r="AC125" i="6" a="1"/>
  <c r="AE34" i="6" a="1"/>
  <c r="AJ57" i="6" a="1"/>
  <c r="AV55" i="6" a="1"/>
  <c r="AC37" i="6" a="1"/>
  <c r="AR110" i="6" a="1"/>
  <c r="AT47" i="6" a="1"/>
  <c r="AM128" i="6" a="1"/>
  <c r="Z30" i="6" a="1"/>
  <c r="Z51" i="6" a="1"/>
  <c r="V58" i="6" a="1"/>
  <c r="AZ55" i="6" a="1"/>
  <c r="AC113" i="6" a="1"/>
  <c r="AA91" i="6" a="1"/>
  <c r="AA112" i="6" a="1"/>
  <c r="AZ21" i="6" a="1"/>
  <c r="Z37" i="6" a="1"/>
  <c r="AY87" i="6" a="1"/>
  <c r="BC95" i="6" a="1"/>
  <c r="U48" i="6" a="1"/>
  <c r="BC112" i="6" a="1"/>
  <c r="AN45" i="6" a="1"/>
  <c r="BC98" i="6" a="1"/>
  <c r="BB47" i="6" a="1"/>
  <c r="AI121" i="6" a="1"/>
  <c r="BD97" i="6" a="1"/>
  <c r="AJ95" i="6" a="1"/>
  <c r="AN22" i="6" a="1"/>
  <c r="AU123" i="6" a="1"/>
  <c r="AE102" i="6" a="1"/>
  <c r="AL113" i="6" a="1"/>
  <c r="AS40" i="6" a="1"/>
  <c r="AJ105" i="6" a="1"/>
  <c r="Y100" i="6" a="1"/>
  <c r="AF109" i="6" a="1"/>
  <c r="AF105" i="6" a="1"/>
  <c r="AB77" i="6" a="1"/>
  <c r="AU127" i="6" a="1"/>
  <c r="U123" i="6" a="1"/>
  <c r="AE57" i="6" a="1"/>
  <c r="W25" i="6" a="1"/>
  <c r="AY23" i="6" a="1"/>
  <c r="AX65" i="6" a="1"/>
  <c r="AJ118" i="6" a="1"/>
  <c r="AY83" i="6" a="1"/>
  <c r="AL104" i="6" a="1"/>
  <c r="AV100" i="6" a="1"/>
  <c r="W58" i="6" a="1"/>
  <c r="X96" i="6" a="1"/>
  <c r="Z104" i="6" a="1"/>
  <c r="AL105" i="6" a="1"/>
  <c r="BB31" i="6" a="1"/>
  <c r="W127" i="6" a="1"/>
  <c r="AY112" i="6" a="1"/>
  <c r="AF98" i="6" a="1"/>
  <c r="AL121" i="6" a="1"/>
  <c r="AT76" i="6" a="1"/>
  <c r="BD124" i="6" a="1"/>
  <c r="AI124" i="6" a="1"/>
  <c r="AN75" i="6" a="1"/>
  <c r="AS101" i="6" a="1"/>
  <c r="AK109" i="6" a="1"/>
  <c r="U95" i="6" a="1"/>
  <c r="AH25" i="6" a="1"/>
  <c r="Z68" i="6" a="1"/>
  <c r="AC43" i="6" a="1"/>
  <c r="Y120" i="6" a="1"/>
  <c r="AD92" i="6" a="1"/>
  <c r="AY82" i="6" a="1"/>
  <c r="Y55" i="6" a="1"/>
  <c r="AZ37" i="6" a="1"/>
  <c r="AT43" i="6" a="1"/>
  <c r="AM101" i="6" a="1"/>
  <c r="AE120" i="6" a="1"/>
  <c r="AH80" i="6" a="1"/>
  <c r="Y65" i="6" a="1"/>
  <c r="Y68" i="6" a="1"/>
  <c r="AS33" i="6" a="1"/>
  <c r="AW30" i="6" a="1"/>
  <c r="AE64" i="6" a="1"/>
  <c r="Y128" i="6" a="1"/>
  <c r="AW117" i="6" a="1"/>
  <c r="AY115" i="6" a="1"/>
  <c r="AR99" i="6" a="1"/>
  <c r="AI80" i="6" a="1"/>
  <c r="BC83" i="6" a="1"/>
  <c r="Y82" i="6" a="1"/>
  <c r="AV21" i="6" a="1"/>
  <c r="AR120" i="6" a="1"/>
  <c r="AR55" i="6" a="1"/>
  <c r="AU108" i="6" a="1"/>
  <c r="X127" i="6" a="1"/>
  <c r="AG24" i="6" a="1"/>
  <c r="AU78" i="6" a="1"/>
  <c r="V37" i="6" a="1"/>
  <c r="AH68" i="6" a="1"/>
  <c r="AT128" i="6" a="1"/>
  <c r="AW61" i="6" a="1"/>
  <c r="U107" i="6" a="1"/>
  <c r="AD115" i="6" a="1"/>
  <c r="AY51" i="6" a="1"/>
  <c r="AI30" i="6" a="1"/>
  <c r="AN52" i="6" a="1"/>
  <c r="AH26" i="6" a="1"/>
  <c r="U109" i="6" a="1"/>
  <c r="Y59" i="6" a="1"/>
  <c r="AG119" i="6" a="1"/>
  <c r="AR126" i="6" a="1"/>
  <c r="AS127" i="6" a="1"/>
  <c r="W41" i="6" a="1"/>
  <c r="AS22" i="6" a="1"/>
  <c r="AX98" i="6" a="1"/>
  <c r="AA104" i="6" a="1"/>
  <c r="AR73" i="6" a="1"/>
  <c r="W43" i="6" a="1"/>
  <c r="AN111" i="6" a="1"/>
  <c r="X76" i="6" a="1"/>
  <c r="AK90" i="6" a="1"/>
  <c r="AI111" i="6" a="1"/>
  <c r="AE24" i="6" a="1"/>
  <c r="AJ58" i="6" a="1"/>
  <c r="AX31" i="6" a="1"/>
  <c r="AH87" i="6" a="1"/>
  <c r="AQ102" i="6" a="1"/>
  <c r="AY86" i="6" a="1"/>
  <c r="U98" i="6" a="1"/>
  <c r="BC63" i="6" a="1"/>
  <c r="AG73" i="6" a="1"/>
  <c r="AO61" i="6" a="1"/>
  <c r="AM74" i="6" a="1"/>
  <c r="AS114" i="6" a="1"/>
  <c r="AQ45" i="6" a="1"/>
  <c r="Z117" i="6" a="1"/>
  <c r="AG44" i="6" a="1"/>
  <c r="BC62" i="6" a="1"/>
  <c r="AM108" i="6" a="1"/>
  <c r="AK94" i="6" a="1"/>
  <c r="AB21" i="6" a="1"/>
  <c r="BD111" i="6" a="1"/>
  <c r="W86" i="6" a="1"/>
  <c r="AP79" i="6" a="1"/>
  <c r="BD89" i="6" a="1"/>
  <c r="W126" i="6" a="1"/>
  <c r="AR31" i="6" a="1"/>
  <c r="AG30" i="6" a="1"/>
  <c r="BD30" i="6" a="1"/>
  <c r="AD126" i="6" a="1"/>
  <c r="AX28" i="6" a="1"/>
  <c r="BA90" i="6" a="1"/>
  <c r="AJ71" i="6" a="1"/>
  <c r="Z90" i="6" a="1"/>
  <c r="AJ87" i="6" a="1"/>
  <c r="AN127" i="6" a="1"/>
  <c r="AR74" i="6" a="1"/>
  <c r="AA128" i="6" a="1"/>
  <c r="AR54" i="6" a="1"/>
  <c r="AK73" i="6" a="1"/>
  <c r="BD127" i="6" a="1"/>
  <c r="AE43" i="6" a="1"/>
  <c r="AK126" i="6" a="1"/>
  <c r="AW67" i="6" a="1"/>
  <c r="AV117" i="6" a="1"/>
  <c r="V53" i="6" a="1"/>
  <c r="AF122" i="6" a="1"/>
  <c r="AX47" i="6" a="1"/>
  <c r="V128" i="6" a="1"/>
  <c r="BC90" i="6" a="1"/>
  <c r="AV79" i="6" a="1"/>
  <c r="AK111" i="6" a="1"/>
  <c r="AB91" i="6" a="1"/>
  <c r="AG89" i="6" a="1"/>
  <c r="U32" i="6" a="1"/>
  <c r="AX67" i="6" a="1"/>
  <c r="AJ33" i="6" a="1"/>
  <c r="AW44" i="6" a="1"/>
  <c r="AE99" i="6" a="1"/>
  <c r="AR78" i="6" a="1"/>
  <c r="AC88" i="6" a="1"/>
  <c r="AB122" i="6" a="1"/>
  <c r="Y110" i="6" a="1"/>
  <c r="AK123" i="6" a="1"/>
  <c r="AG109" i="6" a="1"/>
  <c r="AZ48" i="6" a="1"/>
  <c r="AU113" i="6" a="1"/>
  <c r="AH97" i="6" a="1"/>
  <c r="AP99" i="6" a="1"/>
  <c r="BC55" i="6" a="1"/>
  <c r="AZ35" i="6" a="1"/>
  <c r="AM65" i="6" a="1"/>
  <c r="AN29" i="6" a="1"/>
  <c r="V55" i="6" a="1"/>
  <c r="BB50" i="6" a="1"/>
  <c r="X122" i="6" a="1"/>
  <c r="AY26" i="6" a="1"/>
  <c r="AT118" i="6" a="1"/>
  <c r="AV46" i="6" a="1"/>
  <c r="AE39" i="6" a="1"/>
  <c r="AT75" i="6" a="1"/>
  <c r="BA127" i="6" a="1"/>
  <c r="AV108" i="6" a="1"/>
  <c r="AR44" i="6" a="1"/>
  <c r="AB58" i="6" a="1"/>
  <c r="AW88" i="6" a="1"/>
  <c r="BA77" i="6" a="1"/>
  <c r="AT31" i="6" a="1"/>
  <c r="AF104" i="6" a="1"/>
  <c r="BA38" i="6" a="1"/>
  <c r="AO127" i="6" a="1"/>
  <c r="AD25" i="6" a="1"/>
  <c r="BC93" i="6" a="1"/>
  <c r="BC45" i="6" a="1"/>
  <c r="AS113" i="6" a="1"/>
  <c r="BD61" i="6" a="1"/>
  <c r="AK125" i="6" a="1"/>
  <c r="AW126" i="6" a="1"/>
  <c r="BB112" i="6" a="1"/>
  <c r="AP103" i="6" a="1"/>
  <c r="AL102" i="6" a="1"/>
  <c r="BD116" i="6" a="1"/>
  <c r="AR96" i="6" a="1"/>
  <c r="AA73" i="6" a="1"/>
  <c r="BC116" i="6" a="1"/>
  <c r="AZ102" i="6" a="1"/>
  <c r="AT63" i="6" a="1"/>
  <c r="Y25" i="6" a="1"/>
  <c r="AS41" i="6" a="1"/>
  <c r="W110" i="6" a="1"/>
  <c r="AA57" i="6" a="1"/>
  <c r="AV25" i="6" a="1"/>
  <c r="BB94" i="6" a="1"/>
  <c r="AP76" i="6" a="1"/>
  <c r="AO118" i="6" a="1"/>
  <c r="V62" i="6" a="1"/>
  <c r="AX64" i="6" a="1"/>
  <c r="AV114" i="6" a="1"/>
  <c r="AV58" i="6" a="1"/>
  <c r="AB41" i="6" a="1"/>
  <c r="AM32" i="6" a="1"/>
  <c r="AE21" i="6" a="1"/>
  <c r="AY21" i="6" a="1"/>
  <c r="AT51" i="6" a="1"/>
  <c r="AL110" i="6" a="1"/>
  <c r="AM97" i="6" a="1"/>
  <c r="BC118" i="6" a="1"/>
  <c r="BD95" i="6" a="1"/>
  <c r="AN64" i="6" a="1"/>
  <c r="AR124" i="6" a="1"/>
  <c r="W123" i="6" a="1"/>
  <c r="X54" i="6" a="1"/>
  <c r="AB59" i="6" a="1"/>
  <c r="AT58" i="6" a="1"/>
  <c r="AI95" i="6" a="1"/>
  <c r="AV83" i="6" a="1"/>
  <c r="U86" i="6" a="1"/>
  <c r="BB126" i="6" a="1"/>
  <c r="AC21" i="6" a="1"/>
  <c r="AW58" i="6" a="1"/>
  <c r="AS128" i="6" a="1"/>
  <c r="AG78" i="6" a="1"/>
  <c r="AI86" i="6" a="1"/>
  <c r="AQ71" i="6" a="1"/>
  <c r="AU89" i="6" a="1"/>
  <c r="AS43" i="6" a="1"/>
  <c r="AL109" i="6" a="1"/>
  <c r="W74" i="6" a="1"/>
  <c r="Y38" i="6" a="1"/>
  <c r="AM49" i="6" a="1"/>
  <c r="AA86" i="6" a="1"/>
  <c r="AU115" i="6" a="1"/>
  <c r="Y122" i="6" a="1"/>
  <c r="AT92" i="6" a="1"/>
  <c r="X62" i="6" a="1"/>
  <c r="AE126" i="6" a="1"/>
  <c r="AH57" i="6" a="1"/>
  <c r="AI100" i="6" a="1"/>
  <c r="BD126" i="6" a="1"/>
  <c r="AZ96" i="6" a="1"/>
  <c r="X82" i="6" a="1"/>
  <c r="AK71" i="6" a="1"/>
  <c r="AX23" i="6" a="1"/>
  <c r="AJ103" i="6" a="1"/>
  <c r="AI90" i="6" a="1"/>
  <c r="X50" i="6" a="1"/>
  <c r="AI29" i="6" a="1"/>
  <c r="AY125" i="6" a="1"/>
  <c r="AN32" i="6" a="1"/>
  <c r="AQ42" i="6" a="1"/>
  <c r="AB89" i="6" a="1"/>
  <c r="AZ83" i="6" a="1"/>
  <c r="AI113" i="6" a="1"/>
  <c r="AG40" i="6" a="1"/>
  <c r="AV124" i="6" a="1"/>
  <c r="AN41" i="6" a="1"/>
  <c r="AI28" i="6" a="1"/>
  <c r="AF99" i="6" a="1"/>
  <c r="AT122" i="6" a="1"/>
  <c r="AN72" i="6" a="1"/>
  <c r="V33" i="6" a="1"/>
  <c r="AV23" i="6" a="1"/>
  <c r="AE63" i="6" a="1"/>
  <c r="AG124" i="6" a="1"/>
  <c r="AZ52" i="6" a="1"/>
  <c r="AN42" i="6" a="1"/>
  <c r="AE30" i="6" a="1"/>
  <c r="AR33" i="6" a="1"/>
  <c r="AH56" i="6" a="1"/>
  <c r="V24" i="6" a="1"/>
  <c r="V48" i="6" a="1"/>
  <c r="AY54" i="6" a="1"/>
  <c r="AV87" i="6" a="1"/>
  <c r="AA65" i="6" a="1"/>
  <c r="AU67" i="6" a="1"/>
  <c r="AS27" i="6" a="1"/>
  <c r="AR103" i="6" a="1"/>
  <c r="AK62" i="6" a="1"/>
  <c r="U114" i="6" a="1"/>
  <c r="V126" i="6" a="1"/>
  <c r="BC110" i="6" a="1"/>
  <c r="Y89" i="6" a="1"/>
  <c r="AL30" i="6" a="1"/>
  <c r="AT81" i="6" a="1"/>
  <c r="AB116" i="6" a="1"/>
  <c r="V111" i="6" a="1"/>
  <c r="AE45" i="6" a="1"/>
  <c r="W108" i="6" a="1"/>
  <c r="AJ123" i="6" a="1"/>
  <c r="AT125" i="6" a="1"/>
  <c r="AU90" i="6" a="1"/>
  <c r="AY114" i="6" a="1"/>
  <c r="U84" i="6" a="1"/>
  <c r="AH34" i="6" a="1"/>
  <c r="AC65" i="6" a="1"/>
  <c r="AG35" i="6" a="1"/>
  <c r="AS82" i="6" a="1"/>
  <c r="Z105" i="6" a="1"/>
  <c r="AS63" i="6" a="1"/>
  <c r="BB87" i="6" a="1"/>
  <c r="AD71" i="6" a="1"/>
  <c r="AD125" i="6" a="1"/>
  <c r="AS91" i="6" a="1"/>
  <c r="AK114" i="6" a="1"/>
  <c r="AV74" i="6" a="1"/>
  <c r="AL81" i="6" a="1"/>
  <c r="AZ122" i="6" a="1"/>
  <c r="AF51" i="6" a="1"/>
  <c r="AX40" i="6" a="1"/>
  <c r="Z72" i="6" a="1"/>
  <c r="AN113" i="6" a="1"/>
  <c r="AS78" i="6" a="1"/>
  <c r="AD45" i="6" a="1"/>
  <c r="AA70" i="6" a="1"/>
  <c r="AA118" i="6" a="1"/>
  <c r="BB40" i="6" a="1"/>
  <c r="BA21" i="6" a="1"/>
  <c r="AY22" i="6" a="1"/>
  <c r="W29" i="6" a="1"/>
  <c r="U72" i="6" a="1"/>
  <c r="AV38" i="6" a="1"/>
  <c r="AM112" i="6" a="1"/>
  <c r="AL48" i="6" a="1"/>
  <c r="AH30" i="6" a="1"/>
  <c r="AB95" i="6" a="1"/>
  <c r="V119" i="6" a="1"/>
  <c r="Z69" i="6" a="1"/>
  <c r="AU26" i="6" a="1"/>
  <c r="AS92" i="6" a="1"/>
  <c r="W111" i="6" a="1"/>
  <c r="AO94" i="6" a="1"/>
  <c r="AZ54" i="6" a="1"/>
  <c r="AT109" i="6" a="1"/>
  <c r="AD117" i="6" a="1"/>
  <c r="AI108" i="6" a="1"/>
  <c r="AS110" i="6" a="1"/>
  <c r="AH98" i="6" a="1"/>
  <c r="AM56" i="6" a="1"/>
  <c r="AW70" i="6" a="1"/>
  <c r="AC40" i="6" a="1"/>
  <c r="Z40" i="6" a="1"/>
  <c r="BB38" i="6" a="1"/>
  <c r="AL55" i="6" a="1"/>
  <c r="AN126" i="6" a="1"/>
  <c r="AT28" i="6" a="1"/>
  <c r="AS45" i="6" a="1"/>
  <c r="AC104" i="6" a="1"/>
  <c r="BA35" i="6" a="1"/>
  <c r="AJ23" i="6" a="1"/>
  <c r="AJ114" i="6" a="1"/>
  <c r="AA72" i="6" a="1"/>
  <c r="AE92" i="6" a="1"/>
  <c r="AW26" i="6" a="1"/>
  <c r="AT100" i="6" a="1"/>
  <c r="BD103" i="6" a="1"/>
  <c r="AE68" i="6" a="1"/>
  <c r="AC63" i="6" a="1"/>
  <c r="Y124" i="6" a="1"/>
  <c r="AF81" i="6" a="1"/>
  <c r="AZ127" i="6" a="1"/>
  <c r="AR79" i="6" a="1"/>
  <c r="Y49" i="6" a="1"/>
  <c r="AO78" i="6" a="1"/>
  <c r="Y57" i="6" a="1"/>
  <c r="AB78" i="6" a="1"/>
  <c r="AV126" i="6" a="1"/>
  <c r="BA84" i="6" a="1"/>
  <c r="AQ95" i="6" a="1"/>
  <c r="AS70" i="6" a="1"/>
  <c r="AP101" i="6" a="1"/>
  <c r="AL49" i="6" a="1"/>
  <c r="AA113" i="6" a="1"/>
  <c r="BD59" i="6" a="1"/>
  <c r="AJ39" i="6" a="1"/>
  <c r="AH29" i="6" a="1"/>
  <c r="AY44" i="6" a="1"/>
  <c r="U120" i="6" a="1"/>
  <c r="AH118" i="6" a="1"/>
  <c r="AS123" i="6" a="1"/>
  <c r="AX105" i="6" a="1"/>
  <c r="BC99" i="6" a="1"/>
  <c r="AE73" i="6" a="1"/>
  <c r="AG122" i="6" a="1"/>
  <c r="AS104" i="6" a="1"/>
  <c r="AQ96" i="6" a="1"/>
  <c r="AF33" i="6" a="1"/>
  <c r="AX123" i="6" a="1"/>
  <c r="AT27" i="6" a="1"/>
  <c r="AV29" i="6" a="1"/>
  <c r="W64" i="6" a="1"/>
  <c r="X75" i="6" a="1"/>
  <c r="V102" i="6" a="1"/>
  <c r="W24" i="6" a="1"/>
  <c r="AZ92" i="6" a="1"/>
  <c r="AQ74" i="6" a="1"/>
  <c r="BC75" i="6" a="1"/>
  <c r="AL118" i="6" a="1"/>
  <c r="V21" i="6" a="1"/>
  <c r="AS89" i="6" a="1"/>
  <c r="AW116" i="6" a="1"/>
  <c r="AD24" i="6" a="1"/>
  <c r="AW79" i="6" a="1"/>
  <c r="AD88" i="6" a="1"/>
  <c r="AX92" i="6" a="1"/>
  <c r="BA67" i="6" a="1"/>
  <c r="AL128" i="6" a="1"/>
  <c r="AG92" i="6" a="1"/>
  <c r="AX103" i="6" a="1"/>
  <c r="AE118" i="6" a="1"/>
  <c r="AE76" i="6" a="1"/>
  <c r="AD66" i="6" a="1"/>
  <c r="X126" i="6" a="1"/>
  <c r="AI66" i="6" a="1"/>
  <c r="U125" i="6" a="1"/>
  <c r="X71" i="6" a="1"/>
  <c r="AZ71" i="6" a="1"/>
  <c r="AA39" i="6" a="1"/>
  <c r="AX46" i="6" a="1"/>
  <c r="AV68" i="6" a="1"/>
  <c r="AU73" i="6" a="1"/>
  <c r="BB49" i="6" a="1"/>
  <c r="Z78" i="6" a="1"/>
  <c r="BC79" i="6" a="1"/>
  <c r="AJ111" i="6" a="1"/>
  <c r="AT117" i="6" a="1"/>
  <c r="AR104" i="6" a="1"/>
  <c r="AF110" i="6" a="1"/>
  <c r="W101" i="6" a="1"/>
  <c r="AP84" i="6" a="1"/>
  <c r="AG76" i="6" a="1"/>
  <c r="AI112" i="6" a="1"/>
  <c r="AC72" i="6" a="1"/>
  <c r="AJ126" i="6" a="1"/>
  <c r="AZ33" i="6" a="1"/>
  <c r="AM103" i="6" a="1"/>
  <c r="AC73" i="6" a="1"/>
  <c r="V120" i="6" a="1"/>
  <c r="AB85" i="6" a="1"/>
  <c r="AT90" i="6" a="1"/>
  <c r="AG28" i="6" a="1"/>
  <c r="AJ50" i="6" a="1"/>
  <c r="AZ97" i="6" a="1"/>
  <c r="AF127" i="6" a="1"/>
  <c r="AY99" i="6" a="1"/>
  <c r="BB23" i="6" a="1"/>
  <c r="BB65" i="6" a="1"/>
  <c r="W54" i="6" a="1"/>
  <c r="V28" i="6" a="1"/>
  <c r="Z108" i="6" a="1"/>
  <c r="AK119" i="6" a="1"/>
  <c r="AA66" i="6" a="1"/>
  <c r="AY73" i="6" a="1"/>
  <c r="AE111" i="6" a="1"/>
  <c r="W35" i="6" a="1"/>
  <c r="AF107" i="6" a="1"/>
  <c r="AG56" i="6" a="1"/>
  <c r="AY101" i="6" a="1"/>
  <c r="W90" i="6" a="1"/>
  <c r="AM28" i="6" a="1"/>
  <c r="AS120" i="6" a="1"/>
  <c r="AC98" i="6" a="1"/>
  <c r="AC106" i="6" a="1"/>
  <c r="AE109" i="6" a="1"/>
  <c r="AV111" i="6" a="1"/>
  <c r="AG100" i="6" a="1"/>
  <c r="AD22" i="6" a="1"/>
  <c r="AT99" i="6" a="1"/>
  <c r="AI31" i="6" a="1"/>
  <c r="AN99" i="6" a="1"/>
  <c r="AH47" i="6" a="1"/>
  <c r="AP128" i="6" a="1"/>
  <c r="AH76" i="6" a="1"/>
  <c r="AS115" i="6" a="1"/>
  <c r="AA43" i="6" a="1"/>
  <c r="AJ66" i="6" a="1"/>
  <c r="AF45" i="6" a="1"/>
  <c r="AZ116" i="6" a="1"/>
  <c r="AT30" i="6" a="1"/>
  <c r="V97" i="6" a="1"/>
  <c r="AQ123" i="6" a="1"/>
  <c r="AS69" i="6" a="1"/>
  <c r="BB110" i="6" a="1"/>
  <c r="AS81" i="6" a="1"/>
  <c r="AR64" i="6" a="1"/>
  <c r="AE41" i="6" a="1"/>
  <c r="BA28" i="6" a="1"/>
  <c r="V76" i="6" a="1"/>
  <c r="AK75" i="6" a="1"/>
  <c r="AX122" i="6" a="1"/>
  <c r="AR69" i="6" a="1"/>
  <c r="AO69" i="6" a="1"/>
  <c r="AM91" i="6" a="1"/>
  <c r="AW55" i="6" a="1"/>
  <c r="AH51" i="6" a="1"/>
  <c r="AF82" i="6" a="1"/>
  <c r="W49" i="6" a="1"/>
  <c r="AW56" i="6" a="1"/>
  <c r="AY109" i="6" a="1"/>
  <c r="AX99" i="6" a="1"/>
  <c r="AQ60" i="6" a="1"/>
  <c r="AC32" i="6" a="1"/>
  <c r="AR93" i="6" a="1"/>
  <c r="AE71" i="6" a="1"/>
  <c r="AF120" i="6" a="1"/>
  <c r="AZ24" i="6" a="1"/>
  <c r="AA115" i="6" a="1"/>
  <c r="X112" i="6" a="1"/>
  <c r="V118" i="6" a="1"/>
  <c r="AV61" i="6" a="1"/>
  <c r="AN98" i="6" a="1"/>
  <c r="X117" i="6" a="1"/>
  <c r="BD22" i="6" a="1"/>
  <c r="AZ105" i="6" a="1"/>
  <c r="AW114" i="6" a="1"/>
  <c r="AS119" i="6" a="1"/>
  <c r="AB62" i="6" a="1"/>
  <c r="BD100" i="6" a="1"/>
  <c r="AK44" i="6" a="1"/>
  <c r="AV101" i="6" a="1"/>
  <c r="AK35" i="6" a="1"/>
  <c r="Z89" i="6" a="1"/>
  <c r="BB116" i="6" a="1"/>
  <c r="AM113" i="6" a="1"/>
  <c r="AB88" i="6" a="1"/>
  <c r="AP77" i="6" a="1"/>
  <c r="V89" i="6" a="1"/>
  <c r="AH101" i="6" a="1"/>
  <c r="AD84" i="6" a="1"/>
  <c r="V74" i="6" a="1"/>
  <c r="AQ90" i="6" a="1"/>
  <c r="X120" i="6" a="1"/>
  <c r="AS44" i="6" a="1"/>
  <c r="AU49" i="6" a="1"/>
  <c r="AQ76" i="6" a="1"/>
  <c r="AS39" i="6" a="1"/>
  <c r="AT86" i="6" a="1"/>
  <c r="AE103" i="6" a="1"/>
  <c r="AN51" i="6" a="1"/>
  <c r="AM66" i="6" a="1"/>
  <c r="AE44" i="6" a="1"/>
  <c r="AE113" i="6" a="1"/>
  <c r="W22" i="6" a="1"/>
  <c r="AV64" i="6" a="1"/>
  <c r="Z115" i="6" a="1"/>
  <c r="X70" i="6" a="1"/>
  <c r="Y70" i="6" a="1"/>
  <c r="Z110" i="6" a="1"/>
  <c r="AN87" i="6" a="1"/>
  <c r="V65" i="6" a="1"/>
  <c r="AR106" i="6" a="1"/>
  <c r="AF91" i="6" a="1"/>
  <c r="Z21" i="6" a="1"/>
  <c r="AL74" i="6" a="1"/>
  <c r="AG104" i="6" a="1"/>
  <c r="AU58" i="6" a="1"/>
  <c r="AJ73" i="6" a="1"/>
  <c r="BD115" i="6" a="1"/>
  <c r="AO86" i="6" a="1"/>
  <c r="AC30" i="6" a="1"/>
  <c r="AT126" i="6" a="1"/>
  <c r="AZ36" i="6" a="1"/>
  <c r="V116" i="6" a="1"/>
  <c r="AP113" i="6" a="1"/>
  <c r="AP122" i="6" a="1"/>
  <c r="AM75" i="6" a="1"/>
  <c r="Z44" i="6" a="1"/>
  <c r="AO30" i="6" a="1"/>
  <c r="AZ23" i="6" a="1"/>
  <c r="AI51" i="6" a="1"/>
  <c r="AL26" i="6" a="1"/>
  <c r="AI74" i="6" a="1"/>
  <c r="AV75" i="6" a="1"/>
  <c r="W97" i="6" a="1"/>
  <c r="AD55" i="6" a="1"/>
  <c r="AA117" i="6" a="1"/>
  <c r="V40" i="6" a="1"/>
  <c r="AH79" i="6" a="1"/>
  <c r="AD23" i="6" a="1"/>
  <c r="AP95" i="6" a="1"/>
  <c r="AR107" i="6" a="1"/>
  <c r="AX94" i="6" a="1"/>
  <c r="AZ62" i="6" a="1"/>
  <c r="AT71" i="6" a="1"/>
  <c r="AH78" i="6" a="1"/>
  <c r="AL112" i="6" a="1"/>
  <c r="AP112" i="6" a="1"/>
  <c r="AN92" i="6" a="1"/>
  <c r="X87" i="6" a="1"/>
  <c r="Y115" i="6" a="1"/>
  <c r="AN91" i="6" a="1"/>
  <c r="AL28" i="6" a="1"/>
  <c r="AH27" i="6" a="1"/>
  <c r="AE29" i="6" a="1"/>
  <c r="BB64" i="6" a="1"/>
  <c r="AY53" i="6" a="1"/>
  <c r="AP121" i="6" a="1"/>
  <c r="AK101" i="6" a="1"/>
  <c r="BC128" i="6" a="1"/>
  <c r="AB101" i="6" a="1"/>
  <c r="AQ103" i="6" a="1"/>
  <c r="AJ60" i="6" a="1"/>
  <c r="AI34" i="6" a="1"/>
  <c r="AT65" i="6" a="1"/>
  <c r="Y58" i="6" a="1"/>
  <c r="AE70" i="6" a="1"/>
  <c r="AP41" i="6" a="1"/>
  <c r="AV80" i="6" a="1"/>
  <c r="BA29" i="6" a="1"/>
  <c r="AW110" i="6" a="1"/>
  <c r="AD36" i="6" a="1"/>
  <c r="AS74" i="6" a="1"/>
  <c r="AH95" i="6" a="1"/>
  <c r="AH65" i="6" a="1"/>
  <c r="AQ41" i="6" a="1"/>
  <c r="BB86" i="6" a="1"/>
  <c r="X38" i="6" a="1"/>
  <c r="AR91" i="6" a="1"/>
  <c r="AA71" i="6" a="1"/>
  <c r="AN90" i="6" a="1"/>
  <c r="AP66" i="6" a="1"/>
  <c r="AQ94" i="6" a="1"/>
  <c r="AO115" i="6" a="1"/>
  <c r="AB70" i="6" a="1"/>
  <c r="AH114" i="6" a="1"/>
  <c r="Z60" i="6" a="1"/>
  <c r="AJ84" i="6" a="1"/>
  <c r="AG69" i="6" a="1"/>
  <c r="AN53" i="6" a="1"/>
  <c r="AV94" i="6" a="1"/>
  <c r="AQ61" i="6" a="1"/>
  <c r="AQ58" i="6" a="1"/>
  <c r="AK47" i="6" a="1"/>
  <c r="AP22" i="6" a="1"/>
  <c r="AF111" i="6" a="1"/>
  <c r="X91" i="6" a="1"/>
  <c r="AX61" i="6" a="1"/>
  <c r="Y95" i="6" a="1"/>
  <c r="AK66" i="6" a="1"/>
  <c r="AN60" i="6" a="1"/>
  <c r="AM77" i="6" a="1"/>
  <c r="V61" i="6" a="1"/>
  <c r="BC59" i="6" a="1"/>
  <c r="BA48" i="6" a="1"/>
  <c r="AG87" i="6" a="1"/>
  <c r="AO79" i="6" a="1"/>
  <c r="AU42" i="6" a="1"/>
  <c r="AI79" i="6" a="1"/>
  <c r="AW89" i="6" a="1"/>
  <c r="AF65" i="6" a="1"/>
  <c r="AJ59" i="6" a="1"/>
  <c r="Z114" i="6" a="1"/>
  <c r="AX90" i="6" a="1"/>
  <c r="U127" i="6" a="1"/>
  <c r="AT64" i="6" a="1"/>
  <c r="AK63" i="6" a="1"/>
  <c r="AF27" i="6" a="1"/>
  <c r="AY55" i="6" a="1"/>
  <c r="AA50" i="6" a="1"/>
  <c r="AY122" i="6" a="1"/>
  <c r="BB48" i="6" a="1"/>
  <c r="AC45" i="6" a="1"/>
  <c r="AC127" i="6" a="1"/>
  <c r="AL69" i="6" a="1"/>
  <c r="AE101" i="6" a="1"/>
  <c r="V101" i="6" a="1"/>
  <c r="AC59" i="6" a="1"/>
  <c r="AQ119" i="6" a="1"/>
  <c r="AU52" i="6" a="1"/>
  <c r="AB94" i="6" a="1"/>
  <c r="AH111" i="6" a="1"/>
  <c r="AP105" i="6" a="1"/>
  <c r="AV57" i="6" a="1"/>
  <c r="AP78" i="6" a="1"/>
  <c r="W75" i="6" a="1"/>
  <c r="Y32" i="6" a="1"/>
  <c r="AF79" i="6" a="1"/>
  <c r="U44" i="6" a="1"/>
  <c r="AL122" i="6" a="1"/>
  <c r="AI75" i="6" a="1"/>
  <c r="AF118" i="6" a="1"/>
  <c r="AJ26" i="6" a="1"/>
  <c r="AO35" i="6" a="1"/>
  <c r="AI49" i="6" a="1"/>
  <c r="AH104" i="6" a="1"/>
  <c r="AO112" i="6" a="1"/>
  <c r="AJ65" i="6" a="1"/>
  <c r="AZ117" i="6" a="1"/>
  <c r="AA125" i="6" a="1"/>
  <c r="AD85" i="6" a="1"/>
  <c r="AY58" i="6" a="1"/>
  <c r="AT77" i="6" a="1"/>
  <c r="AT91" i="6" a="1"/>
  <c r="AF56" i="6" a="1"/>
  <c r="AY63" i="6" a="1"/>
  <c r="Y79" i="6" a="1"/>
  <c r="BD117" i="6" a="1"/>
  <c r="AN33" i="6" a="1"/>
  <c r="AV31" i="6" a="1"/>
  <c r="BD44" i="6" a="1"/>
  <c r="AT96" i="6" a="1"/>
  <c r="AQ79" i="6" a="1"/>
  <c r="BD65" i="6" a="1"/>
  <c r="AD50" i="6" a="1"/>
  <c r="AD29" i="6" a="1"/>
  <c r="AD43" i="6" a="1"/>
  <c r="AJ51" i="6" a="1"/>
  <c r="U46" i="6" a="1"/>
  <c r="AA23" i="6" a="1"/>
  <c r="AO24" i="6" a="1"/>
  <c r="AH110" i="6" a="1"/>
  <c r="Z49" i="6" a="1"/>
  <c r="AW113" i="6" a="1"/>
  <c r="AJ125" i="6" a="1"/>
  <c r="U101" i="6" a="1"/>
  <c r="V84" i="6" a="1"/>
  <c r="AB55" i="6" a="1"/>
  <c r="AE28" i="6" a="1"/>
  <c r="X81" i="6" a="1"/>
  <c r="AJ41" i="6" a="1"/>
  <c r="AA21" i="6" a="1"/>
  <c r="AJ69" i="6" a="1"/>
  <c r="W88" i="6" a="1"/>
  <c r="Y90" i="6" a="1"/>
  <c r="AG71" i="6" a="1"/>
  <c r="AD99" i="6" a="1"/>
  <c r="V69" i="6" a="1"/>
  <c r="AX102" i="6" a="1"/>
  <c r="AI94" i="6" a="1"/>
  <c r="AA78" i="6" a="1"/>
  <c r="AX63" i="6" a="1"/>
  <c r="AV93" i="6" a="1"/>
  <c r="BD84" i="6" a="1"/>
  <c r="AE42" i="6" a="1"/>
  <c r="AZ73" i="6" a="1"/>
  <c r="AZ75" i="6" a="1"/>
  <c r="AG51" i="6" a="1"/>
  <c r="AP25" i="6" a="1"/>
  <c r="AP55" i="6" a="1"/>
  <c r="AG79" i="6" a="1"/>
  <c r="AY67" i="6" a="1"/>
  <c r="BD119" i="6" a="1"/>
  <c r="Y106" i="6" a="1"/>
  <c r="AH74" i="6" a="1"/>
  <c r="AY40" i="6" a="1"/>
  <c r="Z127" i="6" a="1"/>
  <c r="AI127" i="6" a="1"/>
  <c r="BB61" i="6" a="1"/>
  <c r="AY64" i="6" a="1"/>
  <c r="AV95" i="6" a="1"/>
  <c r="AB71" i="6" a="1"/>
  <c r="AN122" i="6" a="1"/>
  <c r="AF113" i="6" a="1"/>
  <c r="Y92" i="6" a="1"/>
  <c r="X79" i="6" a="1"/>
  <c r="AF43" i="6" a="1"/>
  <c r="AN76" i="6" a="1"/>
  <c r="V85" i="6" a="1"/>
  <c r="W34" i="6" a="1"/>
  <c r="U30" i="6" a="1"/>
  <c r="AB23" i="6" a="1"/>
  <c r="AG102" i="6" a="1"/>
  <c r="X100" i="6" a="1"/>
  <c r="AB96" i="6" a="1"/>
  <c r="AE47" i="6" a="1"/>
  <c r="V91" i="6" a="1"/>
  <c r="AK41" i="6" a="1"/>
  <c r="Z45" i="6" a="1"/>
  <c r="AF97" i="6" a="1"/>
  <c r="AD109" i="6" a="1"/>
  <c r="AG126" i="6" a="1"/>
  <c r="AS61" i="6" a="1"/>
  <c r="W57" i="6" a="1"/>
  <c r="AN84" i="6" a="1"/>
  <c r="AW106" i="6" a="1"/>
  <c r="V87" i="6" a="1"/>
  <c r="AX125" i="6" a="1"/>
  <c r="AX110" i="6" a="1"/>
  <c r="AB111" i="6" a="1"/>
  <c r="AH82" i="6" a="1"/>
  <c r="AH59" i="6" a="1"/>
  <c r="AX53" i="6" a="1"/>
  <c r="V71" i="6" a="1"/>
  <c r="AR52" i="6" a="1"/>
  <c r="AW100" i="6" a="1"/>
  <c r="AY30" i="6" a="1"/>
  <c r="AM73" i="6" a="1"/>
  <c r="AK74" i="6" a="1"/>
  <c r="AS84" i="6" a="1"/>
  <c r="AD60" i="6" a="1"/>
  <c r="BC30" i="6" a="1"/>
  <c r="X67" i="6" a="1"/>
  <c r="U88" i="6" a="1"/>
  <c r="AA103" i="6" a="1"/>
  <c r="AO22" i="6" a="1"/>
  <c r="BD26" i="6" a="1"/>
  <c r="AI60" i="6" a="1"/>
  <c r="AM88" i="6" a="1"/>
  <c r="AE119" i="6" a="1"/>
  <c r="AZ124" i="6" a="1"/>
  <c r="AK57" i="6" a="1"/>
  <c r="AY108" i="6" a="1"/>
  <c r="AR102" i="6" a="1"/>
  <c r="AG57" i="6" a="1"/>
  <c r="Y45" i="6" a="1"/>
  <c r="AA77" i="6" a="1"/>
  <c r="AQ33" i="6" a="1"/>
  <c r="AL35" i="6" a="1"/>
  <c r="AI46" i="6" a="1"/>
  <c r="W28" i="6" a="1"/>
  <c r="AP118" i="6" a="1"/>
  <c r="V54" i="6" a="1"/>
  <c r="AW75" i="6" a="1"/>
  <c r="Y86" i="6" a="1"/>
  <c r="AJ104" i="6" a="1"/>
  <c r="BB58" i="6" a="1"/>
  <c r="V72" i="6" a="1"/>
  <c r="AL115" i="6" a="1"/>
  <c r="AQ21" i="6" a="1"/>
  <c r="X108" i="6" a="1"/>
  <c r="BB91" i="6" a="1"/>
  <c r="AI104" i="6" a="1"/>
  <c r="AI122" i="6" a="1"/>
  <c r="AB105" i="6" a="1"/>
  <c r="BB82" i="6" a="1"/>
  <c r="AF95" i="6" a="1"/>
  <c r="AY24" i="6" a="1"/>
  <c r="BB90" i="6" a="1"/>
  <c r="AL82" i="6" a="1"/>
  <c r="AY72" i="6" a="1"/>
  <c r="AY78" i="6" a="1"/>
  <c r="AP94" i="6" a="1"/>
  <c r="BD121" i="6" a="1"/>
  <c r="AK108" i="6" a="1"/>
  <c r="AR118" i="6" a="1"/>
  <c r="AR115" i="6" a="1"/>
  <c r="AD69" i="6" a="1"/>
  <c r="BB102" i="6" a="1"/>
  <c r="AU93" i="6" a="1"/>
  <c r="AE50" i="6" a="1"/>
  <c r="AN97" i="6" a="1"/>
  <c r="AV77" i="6" a="1"/>
  <c r="AC86" i="6" a="1"/>
  <c r="AI89" i="6" a="1"/>
  <c r="AJ28" i="6" a="1"/>
  <c r="AG47" i="6" a="1"/>
  <c r="AT66" i="6" a="1"/>
  <c r="W62" i="6" a="1"/>
  <c r="BC73" i="6" a="1"/>
  <c r="AA97" i="6" a="1"/>
  <c r="W79" i="6" a="1"/>
  <c r="BD125" i="6" a="1"/>
  <c r="AZ99" i="6" a="1"/>
  <c r="BC81" i="6" a="1"/>
  <c r="BC111" i="6" a="1"/>
  <c r="AJ127" i="6" a="1"/>
  <c r="AF124" i="6" a="1"/>
  <c r="AO90" i="6" a="1"/>
  <c r="AA101" i="6" a="1"/>
  <c r="AO108" i="6" a="1"/>
  <c r="BB128" i="6" a="1"/>
  <c r="X49" i="6" a="1"/>
  <c r="AY60" i="6" a="1"/>
  <c r="AR125" i="6" a="1"/>
  <c r="V117" i="6" a="1"/>
  <c r="AR80" i="6" a="1"/>
  <c r="AF47" i="6" a="1"/>
  <c r="BC92" i="6" a="1"/>
  <c r="Y33" i="6" a="1"/>
  <c r="AS23" i="6" a="1"/>
  <c r="AR51" i="6" a="1"/>
  <c r="BA61" i="6" a="1"/>
  <c r="AS48" i="6" a="1"/>
  <c r="AV72" i="6" a="1"/>
  <c r="BA63" i="6" a="1"/>
  <c r="AC74" i="6" a="1"/>
  <c r="AY28" i="6" a="1"/>
  <c r="AC107" i="6" a="1"/>
  <c r="AA27" i="6" a="1"/>
  <c r="AS90" i="6" a="1"/>
  <c r="AQ92" i="6" a="1"/>
  <c r="AR40" i="6" a="1"/>
  <c r="U74" i="6" a="1"/>
  <c r="AU80" i="6" a="1"/>
  <c r="AX57" i="6" a="1"/>
  <c r="AN74" i="6" a="1"/>
  <c r="AB100" i="6" a="1"/>
  <c r="AN112" i="6" a="1"/>
  <c r="BC105" i="6" a="1"/>
  <c r="BA121" i="6" a="1"/>
  <c r="U93" i="6" a="1"/>
  <c r="AJ32" i="6" a="1"/>
  <c r="AT69" i="6" a="1"/>
  <c r="Y127" i="6" a="1"/>
  <c r="AR97" i="6" a="1"/>
  <c r="AB110" i="6" a="1"/>
  <c r="U108" i="6" a="1"/>
  <c r="AG49" i="6" a="1"/>
  <c r="AY85" i="6" a="1"/>
  <c r="BD108" i="6" a="1"/>
  <c r="AW69" i="6" a="1"/>
  <c r="BD99" i="6" a="1"/>
  <c r="AD82" i="6" a="1"/>
  <c r="AE114" i="6" a="1"/>
  <c r="AO34" i="6" a="1"/>
  <c r="BC96" i="6" a="1"/>
  <c r="AL25" i="6" a="1"/>
  <c r="V93" i="6" a="1"/>
  <c r="W36" i="6" a="1"/>
  <c r="AP83" i="6" a="1"/>
  <c r="AP64" i="6" a="1"/>
  <c r="AE110" i="6" a="1"/>
  <c r="AK104" i="6" a="1"/>
  <c r="AA35" i="6" a="1"/>
  <c r="AP124" i="6" a="1"/>
  <c r="V45" i="6" a="1"/>
  <c r="AF71" i="6" a="1"/>
  <c r="X107" i="6" a="1"/>
  <c r="Z87" i="6" a="1"/>
  <c r="AL52" i="6" a="1"/>
  <c r="U22" i="6" a="1"/>
  <c r="Y107" i="6" a="1"/>
  <c r="AA46" i="6" a="1"/>
  <c r="AZ119" i="6" a="1"/>
  <c r="AD107" i="6" a="1"/>
  <c r="AX50" i="6" a="1"/>
  <c r="AF117" i="6" a="1"/>
  <c r="AD47" i="6" a="1"/>
  <c r="AC36" i="6" a="1"/>
  <c r="AK91" i="6" a="1"/>
  <c r="AX115" i="6" a="1"/>
  <c r="AF66" i="6" a="1"/>
  <c r="BD101" i="6" a="1"/>
  <c r="AQ122" i="6" a="1"/>
  <c r="BC44" i="6" a="1"/>
  <c r="AB40" i="6" a="1"/>
  <c r="Y111" i="6" a="1"/>
  <c r="AW108" i="6" a="1"/>
  <c r="AB119" i="6" a="1"/>
  <c r="AX85" i="6" a="1"/>
  <c r="AO53" i="6" a="1"/>
  <c r="AH45" i="6" a="1"/>
  <c r="AJ96" i="6" a="1"/>
  <c r="AW53" i="6" a="1"/>
  <c r="AM92" i="6" a="1"/>
  <c r="AG55" i="6" a="1"/>
  <c r="AA84" i="6" a="1"/>
  <c r="AB32" i="6" a="1"/>
  <c r="AG27" i="6" a="1"/>
  <c r="W94" i="6" a="1"/>
  <c r="AV88" i="6" a="1"/>
  <c r="V47" i="6" a="1"/>
  <c r="AV123" i="6" a="1"/>
  <c r="AJ46" i="6" a="1"/>
  <c r="BC24" i="6" a="1"/>
  <c r="AA99" i="6" a="1"/>
  <c r="AG70" i="6" a="1"/>
  <c r="AD53" i="6" a="1"/>
  <c r="AE96" i="6" a="1"/>
  <c r="BA47" i="6" a="1"/>
  <c r="AD105" i="6" a="1"/>
  <c r="BA62" i="6" a="1"/>
  <c r="AZ98" i="6" a="1"/>
  <c r="AW105" i="6" a="1"/>
  <c r="AA89" i="6" a="1"/>
  <c r="AI91" i="6" a="1"/>
  <c r="AY126" i="6" a="1"/>
  <c r="BA100" i="6" a="1"/>
  <c r="BD39" i="6" a="1"/>
  <c r="AC101" i="6" a="1"/>
  <c r="AO62" i="6" a="1"/>
  <c r="AU112" i="6" a="1"/>
  <c r="AI119" i="6" a="1"/>
  <c r="AT93" i="6" a="1"/>
  <c r="BC61" i="6" a="1"/>
  <c r="BA80" i="6" a="1"/>
  <c r="AR60" i="6" a="1"/>
  <c r="BB103" i="6" a="1"/>
  <c r="AH88" i="6" a="1"/>
  <c r="AY59" i="6" a="1"/>
  <c r="AJ97" i="6" a="1"/>
  <c r="AM34" i="6" a="1"/>
  <c r="AL64" i="6" a="1"/>
  <c r="AR49" i="6" a="1"/>
  <c r="Y104" i="6" a="1"/>
  <c r="AJ89" i="6" a="1"/>
  <c r="AJ94" i="6" a="1"/>
  <c r="BC84" i="6" a="1"/>
  <c r="AP117" i="6" a="1"/>
  <c r="AM57" i="6" a="1"/>
  <c r="AW72" i="6" a="1"/>
  <c r="AF40" i="6" a="1"/>
  <c r="AK53" i="6" a="1"/>
  <c r="AT101" i="6" a="1"/>
  <c r="AO65" i="6" a="1"/>
  <c r="AC109" i="6" a="1"/>
  <c r="AS121" i="6" a="1"/>
  <c r="AC99" i="6" a="1"/>
  <c r="Z124" i="6" a="1"/>
  <c r="AJ53" i="6" a="1"/>
  <c r="AR85" i="6" a="1"/>
  <c r="BA97" i="6" a="1"/>
  <c r="AB118" i="6" a="1"/>
  <c r="AB22" i="6" a="1"/>
  <c r="AN102" i="6" a="1"/>
  <c r="AZ109" i="6" a="1"/>
  <c r="V83" i="6" a="1"/>
  <c r="AE86" i="6" a="1"/>
  <c r="AA124" i="6" a="1"/>
  <c r="AV104" i="6" a="1"/>
  <c r="AW87" i="6" a="1"/>
  <c r="BC91" i="6" a="1"/>
  <c r="AK116" i="6" a="1"/>
  <c r="AB124" i="6" a="1"/>
  <c r="AH48" i="6" a="1"/>
  <c r="U124" i="6" a="1"/>
  <c r="AF96" i="6" a="1"/>
  <c r="AM126" i="6" a="1"/>
  <c r="AA44" i="6" a="1"/>
  <c r="AJ91" i="6" a="1"/>
  <c r="AA42" i="6" a="1"/>
  <c r="BA109" i="6" a="1"/>
  <c r="AS25" i="6" a="1"/>
  <c r="BD102" i="6" a="1"/>
  <c r="AP93" i="6" a="1"/>
  <c r="W103" i="6" a="1"/>
  <c r="AL80" i="6" a="1"/>
  <c r="AN89" i="6" a="1"/>
  <c r="V52" i="6" a="1"/>
  <c r="AB118" i="6" l="1"/>
  <c r="AS121" i="6"/>
  <c r="AD29" i="6"/>
  <c r="AR80" i="6"/>
  <c r="AJ127" i="6"/>
  <c r="AC45" i="6"/>
  <c r="AH74" i="6"/>
  <c r="AJ91" i="6"/>
  <c r="AE42" i="6"/>
  <c r="BC111" i="6"/>
  <c r="AV93" i="6"/>
  <c r="BA97" i="6"/>
  <c r="AC109" i="6"/>
  <c r="AC107" i="6"/>
  <c r="BD84" i="6"/>
  <c r="U44" i="6"/>
  <c r="BB48" i="6"/>
  <c r="AY30" i="6"/>
  <c r="AE86" i="6"/>
  <c r="AY122" i="6"/>
  <c r="AO65" i="6"/>
  <c r="AB119" i="6"/>
  <c r="AM73" i="6"/>
  <c r="AJ26" i="6"/>
  <c r="AA50" i="6"/>
  <c r="AT101" i="6"/>
  <c r="V52" i="6"/>
  <c r="AA124" i="6"/>
  <c r="AF118" i="6"/>
  <c r="AK53" i="6"/>
  <c r="AD50" i="6"/>
  <c r="AC36" i="6"/>
  <c r="V83" i="6"/>
  <c r="AR85" i="6"/>
  <c r="AY55" i="6"/>
  <c r="AF40" i="6"/>
  <c r="AA44" i="6"/>
  <c r="AF79" i="6"/>
  <c r="AF27" i="6"/>
  <c r="AL35" i="6"/>
  <c r="AZ109" i="6"/>
  <c r="AJ53" i="6"/>
  <c r="AK63" i="6"/>
  <c r="AW108" i="6"/>
  <c r="AD47" i="6"/>
  <c r="AW100" i="6"/>
  <c r="AT64" i="6"/>
  <c r="AW72" i="6"/>
  <c r="AN89" i="6"/>
  <c r="V117" i="6"/>
  <c r="AF117" i="6"/>
  <c r="BC81" i="6"/>
  <c r="AI75" i="6"/>
  <c r="Y32" i="6"/>
  <c r="AM57" i="6"/>
  <c r="BD65" i="6"/>
  <c r="AX50" i="6"/>
  <c r="AZ99" i="6"/>
  <c r="AN102" i="6"/>
  <c r="Z124" i="6"/>
  <c r="U127" i="6"/>
  <c r="AY28" i="6"/>
  <c r="AM126" i="6"/>
  <c r="AD107" i="6"/>
  <c r="AR52" i="6"/>
  <c r="W75" i="6"/>
  <c r="AX90" i="6"/>
  <c r="Y106" i="6"/>
  <c r="AT77" i="6"/>
  <c r="AZ119" i="6"/>
  <c r="BD125" i="6"/>
  <c r="AB22" i="6"/>
  <c r="AX63" i="6"/>
  <c r="Z114" i="6"/>
  <c r="AP117" i="6"/>
  <c r="AQ33" i="6"/>
  <c r="AP55" i="6"/>
  <c r="V71" i="6"/>
  <c r="BC84" i="6"/>
  <c r="W79" i="6"/>
  <c r="AL122" i="6"/>
  <c r="AP78" i="6"/>
  <c r="AJ59" i="6"/>
  <c r="AJ94" i="6"/>
  <c r="AL80" i="6"/>
  <c r="AR125" i="6"/>
  <c r="AA46" i="6"/>
  <c r="AX53" i="6"/>
  <c r="AV57" i="6"/>
  <c r="AJ89" i="6"/>
  <c r="AQ79" i="6"/>
  <c r="Y107" i="6"/>
  <c r="AC99" i="6"/>
  <c r="AF65" i="6"/>
  <c r="Y104" i="6"/>
  <c r="AC74" i="6"/>
  <c r="AF96" i="6"/>
  <c r="U22" i="6"/>
  <c r="AH59" i="6"/>
  <c r="AW89" i="6"/>
  <c r="AR49" i="6"/>
  <c r="AA77" i="6"/>
  <c r="AY58" i="6"/>
  <c r="AL52" i="6"/>
  <c r="AA97" i="6"/>
  <c r="AH82" i="6"/>
  <c r="AA78" i="6"/>
  <c r="AI79" i="6"/>
  <c r="AG55" i="6"/>
  <c r="AY60" i="6"/>
  <c r="AP105" i="6"/>
  <c r="AI60" i="6"/>
  <c r="Z87" i="6"/>
  <c r="BC73" i="6"/>
  <c r="AB111" i="6"/>
  <c r="AH111" i="6"/>
  <c r="AL64" i="6"/>
  <c r="AT96" i="6"/>
  <c r="Y111" i="6"/>
  <c r="W62" i="6"/>
  <c r="BA63" i="6"/>
  <c r="U124" i="6"/>
  <c r="X107" i="6"/>
  <c r="AT66" i="6"/>
  <c r="AX110" i="6"/>
  <c r="AI94" i="6"/>
  <c r="AU42" i="6"/>
  <c r="AM34" i="6"/>
  <c r="Y45" i="6"/>
  <c r="AF71" i="6"/>
  <c r="AX125" i="6"/>
  <c r="AO79" i="6"/>
  <c r="AJ97" i="6"/>
  <c r="X49" i="6"/>
  <c r="V45" i="6"/>
  <c r="AG47" i="6"/>
  <c r="V87" i="6"/>
  <c r="AB94" i="6"/>
  <c r="AG87" i="6"/>
  <c r="AY59" i="6"/>
  <c r="AM92" i="6"/>
  <c r="BD26" i="6"/>
  <c r="AW106" i="6"/>
  <c r="BA48" i="6"/>
  <c r="AB40" i="6"/>
  <c r="AJ28" i="6"/>
  <c r="AN84" i="6"/>
  <c r="AU52" i="6"/>
  <c r="AH88" i="6"/>
  <c r="AP25" i="6"/>
  <c r="AP124" i="6"/>
  <c r="AI89" i="6"/>
  <c r="W57" i="6"/>
  <c r="AV72" i="6"/>
  <c r="AH48" i="6"/>
  <c r="AC86" i="6"/>
  <c r="BC59" i="6"/>
  <c r="AD85" i="6"/>
  <c r="AA35" i="6"/>
  <c r="AV77" i="6"/>
  <c r="AX102" i="6"/>
  <c r="BB103" i="6"/>
  <c r="W103" i="6"/>
  <c r="AK104" i="6"/>
  <c r="AN97" i="6"/>
  <c r="AQ119" i="6"/>
  <c r="V61" i="6"/>
  <c r="AR60" i="6"/>
  <c r="BD44" i="6"/>
  <c r="AO22" i="6"/>
  <c r="AE110" i="6"/>
  <c r="W90" i="6"/>
  <c r="AE50" i="6"/>
  <c r="AC59" i="6"/>
  <c r="AE43" i="6"/>
  <c r="AU93" i="6"/>
  <c r="AS61" i="6"/>
  <c r="V69" i="6"/>
  <c r="BA80" i="6"/>
  <c r="AG57" i="6"/>
  <c r="AA125" i="6"/>
  <c r="AP64" i="6"/>
  <c r="BB102" i="6"/>
  <c r="AG126" i="6"/>
  <c r="V101" i="6"/>
  <c r="AY101" i="6"/>
  <c r="AM77" i="6"/>
  <c r="BC61" i="6"/>
  <c r="BD119" i="6"/>
  <c r="BC44" i="6"/>
  <c r="AP83" i="6"/>
  <c r="AG56" i="6"/>
  <c r="AD109" i="6"/>
  <c r="BD127" i="6"/>
  <c r="AD99" i="6"/>
  <c r="AT93" i="6"/>
  <c r="AP93" i="6"/>
  <c r="BB128" i="6"/>
  <c r="AF107" i="6"/>
  <c r="W36" i="6"/>
  <c r="AD69" i="6"/>
  <c r="AE101" i="6"/>
  <c r="AN60" i="6"/>
  <c r="W35" i="6"/>
  <c r="AW53" i="6"/>
  <c r="AK73" i="6"/>
  <c r="AB124" i="6"/>
  <c r="V93" i="6"/>
  <c r="AR115" i="6"/>
  <c r="AF97" i="6"/>
  <c r="AE111" i="6"/>
  <c r="AK66" i="6"/>
  <c r="AR54" i="6"/>
  <c r="AI119" i="6"/>
  <c r="AV31" i="6"/>
  <c r="AA103" i="6"/>
  <c r="AL25" i="6"/>
  <c r="AA128" i="6"/>
  <c r="Y95" i="6"/>
  <c r="AY73" i="6"/>
  <c r="AR74" i="6"/>
  <c r="BC96" i="6"/>
  <c r="AM127" i="6"/>
  <c r="AR118" i="6"/>
  <c r="Z45" i="6"/>
  <c r="AA66" i="6"/>
  <c r="V111" i="6"/>
  <c r="AJ77" i="6"/>
  <c r="AU112" i="6"/>
  <c r="AB116" i="6"/>
  <c r="AZ117" i="6"/>
  <c r="AT21" i="6"/>
  <c r="AK108" i="6"/>
  <c r="AK41" i="6"/>
  <c r="AK119" i="6"/>
  <c r="AT81" i="6"/>
  <c r="AN127" i="6"/>
  <c r="AL69" i="6"/>
  <c r="W105" i="6"/>
  <c r="AO62" i="6"/>
  <c r="BD102" i="6"/>
  <c r="Z108" i="6"/>
  <c r="AJ65" i="6"/>
  <c r="BC50" i="6"/>
  <c r="BD121" i="6"/>
  <c r="V91" i="6"/>
  <c r="V28" i="6"/>
  <c r="AJ87" i="6"/>
  <c r="AG71" i="6"/>
  <c r="BB60" i="6"/>
  <c r="AC101" i="6"/>
  <c r="AJ96" i="6"/>
  <c r="W54" i="6"/>
  <c r="Z90" i="6"/>
  <c r="AO34" i="6"/>
  <c r="AP94" i="6"/>
  <c r="AE47" i="6"/>
  <c r="BB65" i="6"/>
  <c r="AJ71" i="6"/>
  <c r="AX61" i="6"/>
  <c r="AQ77" i="6"/>
  <c r="BD39" i="6"/>
  <c r="AN33" i="6"/>
  <c r="BB23" i="6"/>
  <c r="BA90" i="6"/>
  <c r="AQ122" i="6"/>
  <c r="AE114" i="6"/>
  <c r="AW92" i="6"/>
  <c r="AY78" i="6"/>
  <c r="AB96" i="6"/>
  <c r="AY99" i="6"/>
  <c r="AL30" i="6"/>
  <c r="Y90" i="6"/>
  <c r="X91" i="6"/>
  <c r="AJ76" i="6"/>
  <c r="BA100" i="6"/>
  <c r="AS48" i="6"/>
  <c r="AF127" i="6"/>
  <c r="Y89" i="6"/>
  <c r="AX28" i="6"/>
  <c r="AD82" i="6"/>
  <c r="AV89" i="6"/>
  <c r="AY72" i="6"/>
  <c r="X100" i="6"/>
  <c r="AD126" i="6"/>
  <c r="W88" i="6"/>
  <c r="AY126" i="6"/>
  <c r="AR102" i="6"/>
  <c r="AZ97" i="6"/>
  <c r="BD99" i="6"/>
  <c r="AC108" i="6"/>
  <c r="AG102" i="6"/>
  <c r="BC110" i="6"/>
  <c r="BD30" i="6"/>
  <c r="AC127" i="6"/>
  <c r="AF111" i="6"/>
  <c r="AI99" i="6"/>
  <c r="AY67" i="6"/>
  <c r="AJ50" i="6"/>
  <c r="AG30" i="6"/>
  <c r="AB23" i="6"/>
  <c r="AG28" i="6"/>
  <c r="V126" i="6"/>
  <c r="AR31" i="6"/>
  <c r="AT61" i="6"/>
  <c r="AT90" i="6"/>
  <c r="U114" i="6"/>
  <c r="W126" i="6"/>
  <c r="AO112" i="6"/>
  <c r="AW69" i="6"/>
  <c r="AN73" i="6"/>
  <c r="AB85" i="6"/>
  <c r="AK62" i="6"/>
  <c r="AJ69" i="6"/>
  <c r="AP22" i="6"/>
  <c r="AF58" i="6"/>
  <c r="AI91" i="6"/>
  <c r="V120" i="6"/>
  <c r="AR103" i="6"/>
  <c r="BD89" i="6"/>
  <c r="BD101" i="6"/>
  <c r="AC73" i="6"/>
  <c r="AS27" i="6"/>
  <c r="AP79" i="6"/>
  <c r="AH44" i="6"/>
  <c r="AP41" i="6"/>
  <c r="AL82" i="6"/>
  <c r="AM103" i="6"/>
  <c r="AU67" i="6"/>
  <c r="W86" i="6"/>
  <c r="AZ93" i="6"/>
  <c r="AE70" i="6"/>
  <c r="AZ33" i="6"/>
  <c r="AA65" i="6"/>
  <c r="AK47" i="6"/>
  <c r="AW82" i="6"/>
  <c r="AW83" i="6"/>
  <c r="Y58" i="6"/>
  <c r="AA89" i="6"/>
  <c r="AJ126" i="6"/>
  <c r="AV87" i="6"/>
  <c r="BD111" i="6"/>
  <c r="Y121" i="6"/>
  <c r="AT65" i="6"/>
  <c r="AO108" i="6"/>
  <c r="AC72" i="6"/>
  <c r="AY54" i="6"/>
  <c r="AB21" i="6"/>
  <c r="BD108" i="6"/>
  <c r="AB72" i="6"/>
  <c r="AI34" i="6"/>
  <c r="BB90" i="6"/>
  <c r="AI112" i="6"/>
  <c r="AK94" i="6"/>
  <c r="AC128" i="6"/>
  <c r="AM108" i="6"/>
  <c r="AG46" i="6"/>
  <c r="AJ60" i="6"/>
  <c r="AW105" i="6"/>
  <c r="AG76" i="6"/>
  <c r="BC62" i="6"/>
  <c r="BD117" i="6"/>
  <c r="AD63" i="6"/>
  <c r="AI85" i="6"/>
  <c r="AP84" i="6"/>
  <c r="V48" i="6"/>
  <c r="AG44" i="6"/>
  <c r="AY85" i="6"/>
  <c r="AH39" i="6"/>
  <c r="AQ103" i="6"/>
  <c r="AY24" i="6"/>
  <c r="W101" i="6"/>
  <c r="U30" i="6"/>
  <c r="BC114" i="6"/>
  <c r="AB101" i="6"/>
  <c r="AA21" i="6"/>
  <c r="AF110" i="6"/>
  <c r="Z117" i="6"/>
  <c r="AQ58" i="6"/>
  <c r="V44" i="6"/>
  <c r="AL87" i="6"/>
  <c r="AZ98" i="6"/>
  <c r="AR104" i="6"/>
  <c r="AQ45" i="6"/>
  <c r="AY108" i="6"/>
  <c r="AH89" i="6"/>
  <c r="U88" i="6"/>
  <c r="AT117" i="6"/>
  <c r="V24" i="6"/>
  <c r="AS114" i="6"/>
  <c r="AG49" i="6"/>
  <c r="AZ95" i="6"/>
  <c r="AK23" i="6"/>
  <c r="BC128" i="6"/>
  <c r="AH56" i="6"/>
  <c r="AM74" i="6"/>
  <c r="W34" i="6"/>
  <c r="AC55" i="6"/>
  <c r="AU46" i="6"/>
  <c r="AJ41" i="6"/>
  <c r="AJ111" i="6"/>
  <c r="AR33" i="6"/>
  <c r="AQ61" i="6"/>
  <c r="AM106" i="6"/>
  <c r="AT124" i="6"/>
  <c r="BA62" i="6"/>
  <c r="AE30" i="6"/>
  <c r="BA61" i="6"/>
  <c r="AU31" i="6"/>
  <c r="AK101" i="6"/>
  <c r="AK116" i="6"/>
  <c r="AN42" i="6"/>
  <c r="AO61" i="6"/>
  <c r="U108" i="6"/>
  <c r="AT25" i="6"/>
  <c r="AF95" i="6"/>
  <c r="AZ52" i="6"/>
  <c r="AL57" i="6"/>
  <c r="BC106" i="6"/>
  <c r="AP121" i="6"/>
  <c r="AG73" i="6"/>
  <c r="AT106" i="6"/>
  <c r="AY53" i="6"/>
  <c r="AF74" i="6"/>
  <c r="AR95" i="6"/>
  <c r="BB64" i="6"/>
  <c r="BC79" i="6"/>
  <c r="AG124" i="6"/>
  <c r="AH116" i="6"/>
  <c r="AM71" i="6"/>
  <c r="AE29" i="6"/>
  <c r="BC63" i="6"/>
  <c r="AK40" i="6"/>
  <c r="AK37" i="6"/>
  <c r="AO89" i="6"/>
  <c r="AS25" i="6"/>
  <c r="Z78" i="6"/>
  <c r="AE63" i="6"/>
  <c r="BB49" i="6"/>
  <c r="AV23" i="6"/>
  <c r="AP59" i="6"/>
  <c r="AC34" i="6"/>
  <c r="AU73" i="6"/>
  <c r="V33" i="6"/>
  <c r="U98" i="6"/>
  <c r="Y99" i="6"/>
  <c r="BB62" i="6"/>
  <c r="Y93" i="6"/>
  <c r="BB82" i="6"/>
  <c r="AN72" i="6"/>
  <c r="Y30" i="6"/>
  <c r="AP47" i="6"/>
  <c r="AE65" i="6"/>
  <c r="AH27" i="6"/>
  <c r="V85" i="6"/>
  <c r="AV68" i="6"/>
  <c r="AT122" i="6"/>
  <c r="AY86" i="6"/>
  <c r="AY102" i="6"/>
  <c r="X81" i="6"/>
  <c r="X48" i="6"/>
  <c r="AI96" i="6"/>
  <c r="AL28" i="6"/>
  <c r="AV94" i="6"/>
  <c r="AX46" i="6"/>
  <c r="AF99" i="6"/>
  <c r="AZ47" i="6"/>
  <c r="AT38" i="6"/>
  <c r="AN91" i="6"/>
  <c r="AD105" i="6"/>
  <c r="AA39" i="6"/>
  <c r="AQ102" i="6"/>
  <c r="AY92" i="6"/>
  <c r="AM31" i="6"/>
  <c r="Y115" i="6"/>
  <c r="Y79" i="6"/>
  <c r="AZ71" i="6"/>
  <c r="AI28" i="6"/>
  <c r="AX48" i="6"/>
  <c r="AX62" i="6"/>
  <c r="X87" i="6"/>
  <c r="X71" i="6"/>
  <c r="AN41" i="6"/>
  <c r="AH87" i="6"/>
  <c r="AY88" i="6"/>
  <c r="AG101" i="6"/>
  <c r="W82" i="6"/>
  <c r="AN92" i="6"/>
  <c r="AB110" i="6"/>
  <c r="U125" i="6"/>
  <c r="AJ54" i="6"/>
  <c r="U97" i="6"/>
  <c r="AP112" i="6"/>
  <c r="AI66" i="6"/>
  <c r="AV124" i="6"/>
  <c r="AJ63" i="6"/>
  <c r="AX127" i="6"/>
  <c r="X126" i="6"/>
  <c r="AG40" i="6"/>
  <c r="AX31" i="6"/>
  <c r="BC34" i="6"/>
  <c r="AR117" i="6"/>
  <c r="AA32" i="6"/>
  <c r="AL112" i="6"/>
  <c r="AE28" i="6"/>
  <c r="AI113" i="6"/>
  <c r="AJ58" i="6"/>
  <c r="AO82" i="6"/>
  <c r="AI58" i="6"/>
  <c r="AH78" i="6"/>
  <c r="AN53" i="6"/>
  <c r="AD66" i="6"/>
  <c r="AE24" i="6"/>
  <c r="W109" i="6"/>
  <c r="AT71" i="6"/>
  <c r="AE76" i="6"/>
  <c r="AI111" i="6"/>
  <c r="AR122" i="6"/>
  <c r="AK57" i="6"/>
  <c r="AE118" i="6"/>
  <c r="AK90" i="6"/>
  <c r="AZ62" i="6"/>
  <c r="AA101" i="6"/>
  <c r="AX103" i="6"/>
  <c r="AZ83" i="6"/>
  <c r="W118" i="6"/>
  <c r="AG92" i="6"/>
  <c r="AB89" i="6"/>
  <c r="X76" i="6"/>
  <c r="AB105" i="6"/>
  <c r="BB83" i="6"/>
  <c r="AZ88" i="6"/>
  <c r="AX94" i="6"/>
  <c r="AN76" i="6"/>
  <c r="AL128" i="6"/>
  <c r="AQ42" i="6"/>
  <c r="AO54" i="6"/>
  <c r="Z123" i="6"/>
  <c r="AB55" i="6"/>
  <c r="AN111" i="6"/>
  <c r="AW46" i="6"/>
  <c r="AI59" i="6"/>
  <c r="AL100" i="6"/>
  <c r="AR107" i="6"/>
  <c r="AN32" i="6"/>
  <c r="W43" i="6"/>
  <c r="BA105" i="6"/>
  <c r="BA106" i="6"/>
  <c r="U38" i="6"/>
  <c r="BA47" i="6"/>
  <c r="BA67" i="6"/>
  <c r="AY125" i="6"/>
  <c r="AR73" i="6"/>
  <c r="AL117" i="6"/>
  <c r="BA112" i="6"/>
  <c r="AP95" i="6"/>
  <c r="AX92" i="6"/>
  <c r="AI29" i="6"/>
  <c r="AA104" i="6"/>
  <c r="AI45" i="6"/>
  <c r="AE49" i="6"/>
  <c r="AD23" i="6"/>
  <c r="X67" i="6"/>
  <c r="AD88" i="6"/>
  <c r="AX98" i="6"/>
  <c r="AU62" i="6"/>
  <c r="BB27" i="6"/>
  <c r="AR97" i="6"/>
  <c r="X50" i="6"/>
  <c r="AA37" i="6"/>
  <c r="AH79" i="6"/>
  <c r="AI122" i="6"/>
  <c r="AW79" i="6"/>
  <c r="AI90" i="6"/>
  <c r="AS22" i="6"/>
  <c r="AQ101" i="6"/>
  <c r="AO27" i="6"/>
  <c r="BC69" i="6"/>
  <c r="V40" i="6"/>
  <c r="AJ103" i="6"/>
  <c r="W41" i="6"/>
  <c r="AK69" i="6"/>
  <c r="AK112" i="6"/>
  <c r="AA117" i="6"/>
  <c r="BA89" i="6"/>
  <c r="AX35" i="6"/>
  <c r="AD55" i="6"/>
  <c r="AG69" i="6"/>
  <c r="AD24" i="6"/>
  <c r="AX23" i="6"/>
  <c r="AS127" i="6"/>
  <c r="AN82" i="6"/>
  <c r="BB101" i="6"/>
  <c r="AW115" i="6"/>
  <c r="AE96" i="6"/>
  <c r="AW116" i="6"/>
  <c r="AR126" i="6"/>
  <c r="AZ128" i="6"/>
  <c r="V60" i="6"/>
  <c r="AX88" i="6"/>
  <c r="AR51" i="6"/>
  <c r="AS89" i="6"/>
  <c r="AG119" i="6"/>
  <c r="AP126" i="6"/>
  <c r="W97" i="6"/>
  <c r="AH104" i="6"/>
  <c r="V21" i="6"/>
  <c r="AK71" i="6"/>
  <c r="W51" i="6"/>
  <c r="Y127" i="6"/>
  <c r="AL118" i="6"/>
  <c r="X82" i="6"/>
  <c r="AG32" i="6"/>
  <c r="BC75" i="6"/>
  <c r="Y59" i="6"/>
  <c r="AN58" i="6"/>
  <c r="AN81" i="6"/>
  <c r="AQ127" i="6"/>
  <c r="AF43" i="6"/>
  <c r="AZ96" i="6"/>
  <c r="AP127" i="6"/>
  <c r="AQ125" i="6"/>
  <c r="AV75" i="6"/>
  <c r="BD126" i="6"/>
  <c r="U109" i="6"/>
  <c r="AM33" i="6"/>
  <c r="AB108" i="6"/>
  <c r="AJ84" i="6"/>
  <c r="AQ74" i="6"/>
  <c r="AH26" i="6"/>
  <c r="AZ81" i="6"/>
  <c r="AI74" i="6"/>
  <c r="AD53" i="6"/>
  <c r="AI100" i="6"/>
  <c r="U40" i="6"/>
  <c r="AL26" i="6"/>
  <c r="AG79" i="6"/>
  <c r="AZ92" i="6"/>
  <c r="AZ120" i="6"/>
  <c r="AR56" i="6"/>
  <c r="AE79" i="6"/>
  <c r="AI51" i="6"/>
  <c r="BC91" i="6"/>
  <c r="W24" i="6"/>
  <c r="AH57" i="6"/>
  <c r="AN52" i="6"/>
  <c r="BA118" i="6"/>
  <c r="AZ23" i="6"/>
  <c r="V102" i="6"/>
  <c r="AE126" i="6"/>
  <c r="AI30" i="6"/>
  <c r="AP60" i="6"/>
  <c r="AO119" i="6"/>
  <c r="W85" i="6"/>
  <c r="AO30" i="6"/>
  <c r="AI104" i="6"/>
  <c r="X75" i="6"/>
  <c r="X62" i="6"/>
  <c r="AY51" i="6"/>
  <c r="AD83" i="6"/>
  <c r="W128" i="6"/>
  <c r="AS100" i="6"/>
  <c r="Z44" i="6"/>
  <c r="W64" i="6"/>
  <c r="AT92" i="6"/>
  <c r="AD115" i="6"/>
  <c r="AM59" i="6"/>
  <c r="BA23" i="6"/>
  <c r="AM75" i="6"/>
  <c r="V84" i="6"/>
  <c r="AV29" i="6"/>
  <c r="Y122" i="6"/>
  <c r="U107" i="6"/>
  <c r="AP122" i="6"/>
  <c r="AT27" i="6"/>
  <c r="AU115" i="6"/>
  <c r="AW61" i="6"/>
  <c r="AT32" i="6"/>
  <c r="AP113" i="6"/>
  <c r="AG70" i="6"/>
  <c r="AT128" i="6"/>
  <c r="AP45" i="6"/>
  <c r="V116" i="6"/>
  <c r="AA86" i="6"/>
  <c r="AI35" i="6"/>
  <c r="AP96" i="6"/>
  <c r="BA126" i="6"/>
  <c r="AZ36" i="6"/>
  <c r="AG51" i="6"/>
  <c r="AX123" i="6"/>
  <c r="AH68" i="6"/>
  <c r="Y64" i="6"/>
  <c r="U99" i="6"/>
  <c r="AT69" i="6"/>
  <c r="V37" i="6"/>
  <c r="BB105" i="6"/>
  <c r="X56" i="6"/>
  <c r="AM49" i="6"/>
  <c r="AU78" i="6"/>
  <c r="AF33" i="6"/>
  <c r="Y38" i="6"/>
  <c r="AG24" i="6"/>
  <c r="AW118" i="6"/>
  <c r="AQ56" i="6"/>
  <c r="AU117" i="6"/>
  <c r="AT126" i="6"/>
  <c r="U101" i="6"/>
  <c r="AQ96" i="6"/>
  <c r="X127" i="6"/>
  <c r="AJ99" i="6"/>
  <c r="BB125" i="6"/>
  <c r="AC30" i="6"/>
  <c r="Z60" i="6"/>
  <c r="AS104" i="6"/>
  <c r="W74" i="6"/>
  <c r="AU108" i="6"/>
  <c r="AY75" i="6"/>
  <c r="AL123" i="6"/>
  <c r="AO86" i="6"/>
  <c r="AA99" i="6"/>
  <c r="AG122" i="6"/>
  <c r="AL109" i="6"/>
  <c r="AR55" i="6"/>
  <c r="W27" i="6"/>
  <c r="BD115" i="6"/>
  <c r="AY63" i="6"/>
  <c r="AE73" i="6"/>
  <c r="AS43" i="6"/>
  <c r="X69" i="6"/>
  <c r="AW49" i="6"/>
  <c r="AT37" i="6"/>
  <c r="AJ73" i="6"/>
  <c r="AR120" i="6"/>
  <c r="AP89" i="6"/>
  <c r="AS103" i="6"/>
  <c r="AU58" i="6"/>
  <c r="AJ32" i="6"/>
  <c r="BC99" i="6"/>
  <c r="AN23" i="6"/>
  <c r="AG104" i="6"/>
  <c r="BB91" i="6"/>
  <c r="AV21" i="6"/>
  <c r="V107" i="6"/>
  <c r="AR114" i="6"/>
  <c r="AX105" i="6"/>
  <c r="Y82" i="6"/>
  <c r="Z47" i="6"/>
  <c r="AJ100" i="6"/>
  <c r="AC46" i="6"/>
  <c r="AL74" i="6"/>
  <c r="AJ125" i="6"/>
  <c r="AS123" i="6"/>
  <c r="AV56" i="6"/>
  <c r="W73" i="6"/>
  <c r="W59" i="6"/>
  <c r="Z21" i="6"/>
  <c r="AH114" i="6"/>
  <c r="AU89" i="6"/>
  <c r="AU118" i="6"/>
  <c r="AN123" i="6"/>
  <c r="AF91" i="6"/>
  <c r="AQ71" i="6"/>
  <c r="BC83" i="6"/>
  <c r="AJ112" i="6"/>
  <c r="AZ124" i="6"/>
  <c r="AE74" i="6"/>
  <c r="BC102" i="6"/>
  <c r="AR106" i="6"/>
  <c r="AI80" i="6"/>
  <c r="AU126" i="6"/>
  <c r="AI110" i="6"/>
  <c r="AG90" i="6"/>
  <c r="V65" i="6"/>
  <c r="AH118" i="6"/>
  <c r="AR99" i="6"/>
  <c r="AR25" i="6"/>
  <c r="AS122" i="6"/>
  <c r="AQ66" i="6"/>
  <c r="AN87" i="6"/>
  <c r="X108" i="6"/>
  <c r="U120" i="6"/>
  <c r="AF100" i="6"/>
  <c r="BC123" i="6"/>
  <c r="BC56" i="6"/>
  <c r="Z110" i="6"/>
  <c r="X79" i="6"/>
  <c r="AY44" i="6"/>
  <c r="AI86" i="6"/>
  <c r="AY115" i="6"/>
  <c r="BB43" i="6"/>
  <c r="AN44" i="6"/>
  <c r="Y70" i="6"/>
  <c r="AH29" i="6"/>
  <c r="AG78" i="6"/>
  <c r="AW117" i="6"/>
  <c r="AU24" i="6"/>
  <c r="AC69" i="6"/>
  <c r="X70" i="6"/>
  <c r="AB70" i="6"/>
  <c r="AJ39" i="6"/>
  <c r="AS128" i="6"/>
  <c r="AY42" i="6"/>
  <c r="AM79" i="6"/>
  <c r="Y40" i="6"/>
  <c r="BC24" i="6"/>
  <c r="BD59" i="6"/>
  <c r="AW58" i="6"/>
  <c r="AR59" i="6"/>
  <c r="Z115" i="6"/>
  <c r="AH45" i="6"/>
  <c r="AA113" i="6"/>
  <c r="AC21" i="6"/>
  <c r="AG85" i="6"/>
  <c r="BA53" i="6"/>
  <c r="AF66" i="6"/>
  <c r="AL49" i="6"/>
  <c r="BB126" i="6"/>
  <c r="Y128" i="6"/>
  <c r="AT95" i="6"/>
  <c r="AV64" i="6"/>
  <c r="U93" i="6"/>
  <c r="AP101" i="6"/>
  <c r="AO101" i="6"/>
  <c r="BC107" i="6"/>
  <c r="AX37" i="6"/>
  <c r="AS70" i="6"/>
  <c r="U86" i="6"/>
  <c r="AN93" i="6"/>
  <c r="W22" i="6"/>
  <c r="AQ95" i="6"/>
  <c r="AV83" i="6"/>
  <c r="AE64" i="6"/>
  <c r="X21" i="6"/>
  <c r="AE113" i="6"/>
  <c r="AW113" i="6"/>
  <c r="AI95" i="6"/>
  <c r="AQ89" i="6"/>
  <c r="AG105" i="6"/>
  <c r="AO115" i="6"/>
  <c r="BA84" i="6"/>
  <c r="AT58" i="6"/>
  <c r="AA30" i="6"/>
  <c r="AJ120" i="6"/>
  <c r="AO95" i="6"/>
  <c r="AV126" i="6"/>
  <c r="AB59" i="6"/>
  <c r="AW30" i="6"/>
  <c r="AT48" i="6"/>
  <c r="AE44" i="6"/>
  <c r="AS23" i="6"/>
  <c r="X54" i="6"/>
  <c r="AS33" i="6"/>
  <c r="AH113" i="6"/>
  <c r="AH35" i="6"/>
  <c r="AM66" i="6"/>
  <c r="AI49" i="6"/>
  <c r="AB78" i="6"/>
  <c r="W123" i="6"/>
  <c r="Y68" i="6"/>
  <c r="AN35" i="6"/>
  <c r="BD46" i="6"/>
  <c r="AN51" i="6"/>
  <c r="BA121" i="6"/>
  <c r="Y57" i="6"/>
  <c r="AR124" i="6"/>
  <c r="Y65" i="6"/>
  <c r="AL107" i="6"/>
  <c r="AE103" i="6"/>
  <c r="AQ21" i="6"/>
  <c r="AO78" i="6"/>
  <c r="AN64" i="6"/>
  <c r="AH80" i="6"/>
  <c r="AI53" i="6"/>
  <c r="AO43" i="6"/>
  <c r="Y92" i="6"/>
  <c r="Y49" i="6"/>
  <c r="BD95" i="6"/>
  <c r="AE120" i="6"/>
  <c r="AA110" i="6"/>
  <c r="AT86" i="6"/>
  <c r="Z49" i="6"/>
  <c r="AR79" i="6"/>
  <c r="AM101" i="6"/>
  <c r="AL29" i="6"/>
  <c r="AK98" i="6"/>
  <c r="AQ94" i="6"/>
  <c r="AZ127" i="6"/>
  <c r="AT43" i="6"/>
  <c r="AA29" i="6"/>
  <c r="AE80" i="6"/>
  <c r="AS39" i="6"/>
  <c r="AJ46" i="6"/>
  <c r="AF81" i="6"/>
  <c r="BC118" i="6"/>
  <c r="AZ37" i="6"/>
  <c r="AA109" i="6"/>
  <c r="AY93" i="6"/>
  <c r="BA109" i="6"/>
  <c r="Y124" i="6"/>
  <c r="AM97" i="6"/>
  <c r="Y55" i="6"/>
  <c r="AQ76" i="6"/>
  <c r="AW87" i="6"/>
  <c r="AC63" i="6"/>
  <c r="AL110" i="6"/>
  <c r="AU49" i="6"/>
  <c r="BC105" i="6"/>
  <c r="AT51" i="6"/>
  <c r="AD91" i="6"/>
  <c r="Z24" i="6"/>
  <c r="W80" i="6"/>
  <c r="AS44" i="6"/>
  <c r="AL115" i="6"/>
  <c r="AE68" i="6"/>
  <c r="AY21" i="6"/>
  <c r="AH86" i="6"/>
  <c r="AJ86" i="6"/>
  <c r="V73" i="6"/>
  <c r="X120" i="6"/>
  <c r="AF113" i="6"/>
  <c r="AY82" i="6"/>
  <c r="AY105" i="6"/>
  <c r="AH110" i="6"/>
  <c r="AE21" i="6"/>
  <c r="AS116" i="6"/>
  <c r="AE90" i="6"/>
  <c r="AM102" i="6"/>
  <c r="AP66" i="6"/>
  <c r="BD103" i="6"/>
  <c r="AM32" i="6"/>
  <c r="AD92" i="6"/>
  <c r="AP63" i="6"/>
  <c r="AL38" i="6"/>
  <c r="AV123" i="6"/>
  <c r="Y120" i="6"/>
  <c r="AM26" i="6"/>
  <c r="AX119" i="6"/>
  <c r="AU50" i="6"/>
  <c r="AQ90" i="6"/>
  <c r="AE119" i="6"/>
  <c r="AT100" i="6"/>
  <c r="AC43" i="6"/>
  <c r="AA116" i="6"/>
  <c r="V74" i="6"/>
  <c r="AB41" i="6"/>
  <c r="Z68" i="6"/>
  <c r="Z59" i="6"/>
  <c r="AZ70" i="6"/>
  <c r="AN114" i="6"/>
  <c r="AW26" i="6"/>
  <c r="AV58" i="6"/>
  <c r="X41" i="6"/>
  <c r="AU32" i="6"/>
  <c r="AX104" i="6"/>
  <c r="V72" i="6"/>
  <c r="AE92" i="6"/>
  <c r="AV114" i="6"/>
  <c r="AH25" i="6"/>
  <c r="AQ23" i="6"/>
  <c r="AT120" i="6"/>
  <c r="AD84" i="6"/>
  <c r="AA72" i="6"/>
  <c r="AX64" i="6"/>
  <c r="U95" i="6"/>
  <c r="W120" i="6"/>
  <c r="AD52" i="6"/>
  <c r="AJ114" i="6"/>
  <c r="V62" i="6"/>
  <c r="AK109" i="6"/>
  <c r="AD59" i="6"/>
  <c r="AW78" i="6"/>
  <c r="V68" i="6"/>
  <c r="AN90" i="6"/>
  <c r="AO118" i="6"/>
  <c r="AW80" i="6"/>
  <c r="AP46" i="6"/>
  <c r="AH101" i="6"/>
  <c r="AJ23" i="6"/>
  <c r="AP76" i="6"/>
  <c r="AE128" i="6"/>
  <c r="BD72" i="6"/>
  <c r="AF56" i="6"/>
  <c r="BB94" i="6"/>
  <c r="V89" i="6"/>
  <c r="BC30" i="6"/>
  <c r="BA35" i="6"/>
  <c r="AV25" i="6"/>
  <c r="AS101" i="6"/>
  <c r="AK82" i="6"/>
  <c r="AX121" i="6"/>
  <c r="AN112" i="6"/>
  <c r="AN75" i="6"/>
  <c r="AH58" i="6"/>
  <c r="AP77" i="6"/>
  <c r="AC104" i="6"/>
  <c r="AQ114" i="6"/>
  <c r="AB88" i="6"/>
  <c r="AN122" i="6"/>
  <c r="AA57" i="6"/>
  <c r="BD51" i="6"/>
  <c r="AN110" i="6"/>
  <c r="AM113" i="6"/>
  <c r="AS45" i="6"/>
  <c r="AI124" i="6"/>
  <c r="AB43" i="6"/>
  <c r="BB116" i="6"/>
  <c r="AA71" i="6"/>
  <c r="AT28" i="6"/>
  <c r="W110" i="6"/>
  <c r="AK55" i="6"/>
  <c r="Z89" i="6"/>
  <c r="V47" i="6"/>
  <c r="AN126" i="6"/>
  <c r="AS41" i="6"/>
  <c r="BD124" i="6"/>
  <c r="BA104" i="6"/>
  <c r="AV119" i="6"/>
  <c r="AW90" i="6"/>
  <c r="AK35" i="6"/>
  <c r="AO53" i="6"/>
  <c r="AL55" i="6"/>
  <c r="AT76" i="6"/>
  <c r="AN100" i="6"/>
  <c r="AD127" i="6"/>
  <c r="AV101" i="6"/>
  <c r="AX115" i="6"/>
  <c r="Y25" i="6"/>
  <c r="BD113" i="6"/>
  <c r="AT105" i="6"/>
  <c r="AK44" i="6"/>
  <c r="AB100" i="6"/>
  <c r="AT63" i="6"/>
  <c r="AL121" i="6"/>
  <c r="AS96" i="6"/>
  <c r="BC119" i="6"/>
  <c r="BD100" i="6"/>
  <c r="BB58" i="6"/>
  <c r="AZ102" i="6"/>
  <c r="AF98" i="6"/>
  <c r="AI47" i="6"/>
  <c r="AB62" i="6"/>
  <c r="BB38" i="6"/>
  <c r="AY112" i="6"/>
  <c r="AA69" i="6"/>
  <c r="AS119" i="6"/>
  <c r="W127" i="6"/>
  <c r="AB113" i="6"/>
  <c r="Z23" i="6"/>
  <c r="AW114" i="6"/>
  <c r="AR91" i="6"/>
  <c r="AA111" i="6"/>
  <c r="AQ46" i="6"/>
  <c r="AB86" i="6"/>
  <c r="AZ105" i="6"/>
  <c r="AV88" i="6"/>
  <c r="BC116" i="6"/>
  <c r="AO60" i="6"/>
  <c r="AW39" i="6"/>
  <c r="BD22" i="6"/>
  <c r="Y33" i="6"/>
  <c r="AA73" i="6"/>
  <c r="BB31" i="6"/>
  <c r="AW128" i="6"/>
  <c r="AP54" i="6"/>
  <c r="AZ75" i="6"/>
  <c r="AL105" i="6"/>
  <c r="AU82" i="6"/>
  <c r="AN74" i="6"/>
  <c r="Z40" i="6"/>
  <c r="AR96" i="6"/>
  <c r="X80" i="6"/>
  <c r="BD58" i="6"/>
  <c r="AJ104" i="6"/>
  <c r="AC40" i="6"/>
  <c r="BD116" i="6"/>
  <c r="Z104" i="6"/>
  <c r="AC70" i="6"/>
  <c r="AL102" i="6"/>
  <c r="V63" i="6"/>
  <c r="AW95" i="6"/>
  <c r="AL96" i="6"/>
  <c r="AO24" i="6"/>
  <c r="AP103" i="6"/>
  <c r="AS46" i="6"/>
  <c r="AF123" i="6"/>
  <c r="X117" i="6"/>
  <c r="X38" i="6"/>
  <c r="AW70" i="6"/>
  <c r="AG127" i="6"/>
  <c r="AH100" i="6"/>
  <c r="AQ117" i="6"/>
  <c r="Z64" i="6"/>
  <c r="AM56" i="6"/>
  <c r="AV122" i="6"/>
  <c r="BB112" i="6"/>
  <c r="AQ87" i="6"/>
  <c r="X96" i="6"/>
  <c r="AK46" i="6"/>
  <c r="AY32" i="6"/>
  <c r="AN98" i="6"/>
  <c r="W121" i="6"/>
  <c r="AA42" i="6"/>
  <c r="AH98" i="6"/>
  <c r="AW126" i="6"/>
  <c r="U36" i="6"/>
  <c r="AL32" i="6"/>
  <c r="AX128" i="6"/>
  <c r="AV61" i="6"/>
  <c r="AO35" i="6"/>
  <c r="AS110" i="6"/>
  <c r="W58" i="6"/>
  <c r="BA107" i="6"/>
  <c r="AS112" i="6"/>
  <c r="AF126" i="6"/>
  <c r="AX57" i="6"/>
  <c r="AL98" i="6"/>
  <c r="AI108" i="6"/>
  <c r="AX116" i="6"/>
  <c r="AV81" i="6"/>
  <c r="AG121" i="6"/>
  <c r="AU110" i="6"/>
  <c r="AN109" i="6"/>
  <c r="AO80" i="6"/>
  <c r="AX100" i="6"/>
  <c r="V118" i="6"/>
  <c r="Y86" i="6"/>
  <c r="BD94" i="6"/>
  <c r="AD117" i="6"/>
  <c r="AL95" i="6"/>
  <c r="AV100" i="6"/>
  <c r="AC64" i="6"/>
  <c r="V112" i="6"/>
  <c r="AP42" i="6"/>
  <c r="AR98" i="6"/>
  <c r="AR127" i="6"/>
  <c r="AZ125" i="6"/>
  <c r="AB71" i="6"/>
  <c r="AT109" i="6"/>
  <c r="AK125" i="6"/>
  <c r="AH128" i="6"/>
  <c r="AL104" i="6"/>
  <c r="BD112" i="6"/>
  <c r="AQ111" i="6"/>
  <c r="AT80" i="6"/>
  <c r="X112" i="6"/>
  <c r="V57" i="6"/>
  <c r="AA23" i="6"/>
  <c r="BD61" i="6"/>
  <c r="AY83" i="6"/>
  <c r="V125" i="6"/>
  <c r="AA114" i="6"/>
  <c r="AZ114" i="6"/>
  <c r="AO56" i="6"/>
  <c r="AU88" i="6"/>
  <c r="AA115" i="6"/>
  <c r="AP23" i="6"/>
  <c r="BB86" i="6"/>
  <c r="AZ54" i="6"/>
  <c r="X78" i="6"/>
  <c r="AG111" i="6"/>
  <c r="AY123" i="6"/>
  <c r="AW102" i="6"/>
  <c r="AI57" i="6"/>
  <c r="W94" i="6"/>
  <c r="AO68" i="6"/>
  <c r="AO94" i="6"/>
  <c r="AR47" i="6"/>
  <c r="AS113" i="6"/>
  <c r="AT83" i="6"/>
  <c r="AE117" i="6"/>
  <c r="V127" i="6"/>
  <c r="BA25" i="6"/>
  <c r="AZ24" i="6"/>
  <c r="AM88" i="6"/>
  <c r="BC125" i="6"/>
  <c r="W111" i="6"/>
  <c r="BC45" i="6"/>
  <c r="BC117" i="6"/>
  <c r="X47" i="6"/>
  <c r="AP110" i="6"/>
  <c r="AX106" i="6"/>
  <c r="AF120" i="6"/>
  <c r="X114" i="6"/>
  <c r="AO90" i="6"/>
  <c r="BB46" i="6"/>
  <c r="AS92" i="6"/>
  <c r="BC93" i="6"/>
  <c r="AJ118" i="6"/>
  <c r="AZ80" i="6"/>
  <c r="Y97" i="6"/>
  <c r="AD70" i="6"/>
  <c r="AU80" i="6"/>
  <c r="AD25" i="6"/>
  <c r="AC126" i="6"/>
  <c r="AX65" i="6"/>
  <c r="AJ98" i="6"/>
  <c r="AX108" i="6"/>
  <c r="AS65" i="6"/>
  <c r="AZ30" i="6"/>
  <c r="V29" i="6"/>
  <c r="AE71" i="6"/>
  <c r="AP21" i="6"/>
  <c r="AO127" i="6"/>
  <c r="AM27" i="6"/>
  <c r="AU72" i="6"/>
  <c r="AJ128" i="6"/>
  <c r="AL45" i="6"/>
  <c r="AL125" i="6"/>
  <c r="BB115" i="6"/>
  <c r="AU26" i="6"/>
  <c r="AR87" i="6"/>
  <c r="AZ41" i="6"/>
  <c r="BA38" i="6"/>
  <c r="AM95" i="6"/>
  <c r="AJ119" i="6"/>
  <c r="X60" i="6"/>
  <c r="BD43" i="6"/>
  <c r="AZ50" i="6"/>
  <c r="AR93" i="6"/>
  <c r="AF68" i="6"/>
  <c r="U46" i="6"/>
  <c r="AI115" i="6"/>
  <c r="Z69" i="6"/>
  <c r="AF32" i="6"/>
  <c r="AF104" i="6"/>
  <c r="AH37" i="6"/>
  <c r="AA24" i="6"/>
  <c r="AN125" i="6"/>
  <c r="U104" i="6"/>
  <c r="AC32" i="6"/>
  <c r="AJ79" i="6"/>
  <c r="AQ41" i="6"/>
  <c r="V119" i="6"/>
  <c r="AY69" i="6"/>
  <c r="AI33" i="6"/>
  <c r="AY23" i="6"/>
  <c r="AX117" i="6"/>
  <c r="AJ101" i="6"/>
  <c r="X64" i="6"/>
  <c r="AS47" i="6"/>
  <c r="AX59" i="6"/>
  <c r="X105" i="6"/>
  <c r="X128" i="6"/>
  <c r="AU99" i="6"/>
  <c r="AQ60" i="6"/>
  <c r="AY121" i="6"/>
  <c r="BC80" i="6"/>
  <c r="AB95" i="6"/>
  <c r="AE61" i="6"/>
  <c r="AY41" i="6"/>
  <c r="Z77" i="6"/>
  <c r="AH125" i="6"/>
  <c r="AF88" i="6"/>
  <c r="AV73" i="6"/>
  <c r="AY106" i="6"/>
  <c r="AN69" i="6"/>
  <c r="AV106" i="6"/>
  <c r="AX99" i="6"/>
  <c r="AK121" i="6"/>
  <c r="W48" i="6"/>
  <c r="AZ103" i="6"/>
  <c r="V108" i="6"/>
  <c r="AK81" i="6"/>
  <c r="AO59" i="6"/>
  <c r="W25" i="6"/>
  <c r="AZ61" i="6"/>
  <c r="AD67" i="6"/>
  <c r="AU35" i="6"/>
  <c r="AC110" i="6"/>
  <c r="AE58" i="6"/>
  <c r="AT70" i="6"/>
  <c r="AP39" i="6"/>
  <c r="AP107" i="6"/>
  <c r="AV104" i="6"/>
  <c r="BA117" i="6"/>
  <c r="AH30" i="6"/>
  <c r="AQ54" i="6"/>
  <c r="AT31" i="6"/>
  <c r="AB67" i="6"/>
  <c r="AN36" i="6"/>
  <c r="AR58" i="6"/>
  <c r="AB76" i="6"/>
  <c r="AL75" i="6"/>
  <c r="BA116" i="6"/>
  <c r="AP106" i="6"/>
  <c r="AL61" i="6"/>
  <c r="AP114" i="6"/>
  <c r="AY109" i="6"/>
  <c r="AM124" i="6"/>
  <c r="AI62" i="6"/>
  <c r="AL48" i="6"/>
  <c r="V22" i="6"/>
  <c r="Z32" i="6"/>
  <c r="AO99" i="6"/>
  <c r="BA77" i="6"/>
  <c r="AP56" i="6"/>
  <c r="AM110" i="6"/>
  <c r="BA45" i="6"/>
  <c r="AG66" i="6"/>
  <c r="BA108" i="6"/>
  <c r="BA78" i="6"/>
  <c r="BA88" i="6"/>
  <c r="V70" i="6"/>
  <c r="AX41" i="6"/>
  <c r="AW56" i="6"/>
  <c r="U60" i="6"/>
  <c r="AW75" i="6"/>
  <c r="V100" i="6"/>
  <c r="AY118" i="6"/>
  <c r="AM112" i="6"/>
  <c r="AW88" i="6"/>
  <c r="Z35" i="6"/>
  <c r="Y119" i="6"/>
  <c r="AE57" i="6"/>
  <c r="AT67" i="6"/>
  <c r="AG48" i="6"/>
  <c r="AF86" i="6"/>
  <c r="AU81" i="6"/>
  <c r="AC22" i="6"/>
  <c r="AA64" i="6"/>
  <c r="AV38" i="6"/>
  <c r="W66" i="6"/>
  <c r="AZ104" i="6"/>
  <c r="AB58" i="6"/>
  <c r="U123" i="6"/>
  <c r="U100" i="6"/>
  <c r="AY79" i="6"/>
  <c r="BA101" i="6"/>
  <c r="AQ100" i="6"/>
  <c r="AW98" i="6"/>
  <c r="W32" i="6"/>
  <c r="X118" i="6"/>
  <c r="AQ84" i="6"/>
  <c r="AO113" i="6"/>
  <c r="AB83" i="6"/>
  <c r="U72" i="6"/>
  <c r="AO107" i="6"/>
  <c r="AV118" i="6"/>
  <c r="AR44" i="6"/>
  <c r="AE53" i="6"/>
  <c r="AU127" i="6"/>
  <c r="V121" i="6"/>
  <c r="BC82" i="6"/>
  <c r="BD75" i="6"/>
  <c r="AV120" i="6"/>
  <c r="W49" i="6"/>
  <c r="AC124" i="6"/>
  <c r="AJ107" i="6"/>
  <c r="AH65" i="6"/>
  <c r="Z70" i="6"/>
  <c r="BD37" i="6"/>
  <c r="AV108" i="6"/>
  <c r="AM35" i="6"/>
  <c r="BD107" i="6"/>
  <c r="AP80" i="6"/>
  <c r="AG42" i="6"/>
  <c r="V43" i="6"/>
  <c r="AP29" i="6"/>
  <c r="AQ57" i="6"/>
  <c r="AF69" i="6"/>
  <c r="X111" i="6"/>
  <c r="AH92" i="6"/>
  <c r="W29" i="6"/>
  <c r="AT94" i="6"/>
  <c r="AB77" i="6"/>
  <c r="BC85" i="6"/>
  <c r="AS59" i="6"/>
  <c r="AX97" i="6"/>
  <c r="AP97" i="6"/>
  <c r="AC29" i="6"/>
  <c r="BA32" i="6"/>
  <c r="AX85" i="6"/>
  <c r="AY22" i="6"/>
  <c r="AS54" i="6"/>
  <c r="AJ115" i="6"/>
  <c r="BA127" i="6"/>
  <c r="AJ45" i="6"/>
  <c r="BD41" i="6"/>
  <c r="AF105" i="6"/>
  <c r="AO97" i="6"/>
  <c r="AT114" i="6"/>
  <c r="AF82" i="6"/>
  <c r="AX77" i="6"/>
  <c r="AD60" i="6"/>
  <c r="AO25" i="6"/>
  <c r="AK39" i="6"/>
  <c r="BA21" i="6"/>
  <c r="AT75" i="6"/>
  <c r="AT88" i="6"/>
  <c r="AV26" i="6"/>
  <c r="AK31" i="6"/>
  <c r="AF109" i="6"/>
  <c r="AO67" i="6"/>
  <c r="AZ82" i="6"/>
  <c r="V46" i="6"/>
  <c r="AH51" i="6"/>
  <c r="U74" i="6"/>
  <c r="AN59" i="6"/>
  <c r="BB40" i="6"/>
  <c r="AG65" i="6"/>
  <c r="AE39" i="6"/>
  <c r="Y100" i="6"/>
  <c r="AE23" i="6"/>
  <c r="BD92" i="6"/>
  <c r="AK54" i="6"/>
  <c r="AO63" i="6"/>
  <c r="AJ43" i="6"/>
  <c r="AU94" i="6"/>
  <c r="AZ56" i="6"/>
  <c r="AW93" i="6"/>
  <c r="AV65" i="6"/>
  <c r="AM78" i="6"/>
  <c r="AV84" i="6"/>
  <c r="AI114" i="6"/>
  <c r="V54" i="6"/>
  <c r="AN108" i="6"/>
  <c r="AO103" i="6"/>
  <c r="AD104" i="6"/>
  <c r="AV46" i="6"/>
  <c r="V94" i="6"/>
  <c r="AJ105" i="6"/>
  <c r="BB37" i="6"/>
  <c r="W21" i="6"/>
  <c r="AS108" i="6"/>
  <c r="AP104" i="6"/>
  <c r="AW55" i="6"/>
  <c r="AN40" i="6"/>
  <c r="AM105" i="6"/>
  <c r="AV95" i="6"/>
  <c r="AS38" i="6"/>
  <c r="AV66" i="6"/>
  <c r="AA118" i="6"/>
  <c r="Z122" i="6"/>
  <c r="AD102" i="6"/>
  <c r="AS40" i="6"/>
  <c r="AV33" i="6"/>
  <c r="AD124" i="6"/>
  <c r="AG45" i="6"/>
  <c r="AA28" i="6"/>
  <c r="AD46" i="6"/>
  <c r="AL70" i="6"/>
  <c r="Y78" i="6"/>
  <c r="AK52" i="6"/>
  <c r="AA95" i="6"/>
  <c r="AM91" i="6"/>
  <c r="AJ51" i="6"/>
  <c r="AW111" i="6"/>
  <c r="Z41" i="6"/>
  <c r="AA70" i="6"/>
  <c r="AK105" i="6"/>
  <c r="AT118" i="6"/>
  <c r="AL113" i="6"/>
  <c r="AU103" i="6"/>
  <c r="Y123" i="6"/>
  <c r="AC112" i="6"/>
  <c r="AY116" i="6"/>
  <c r="AP27" i="6"/>
  <c r="AF119" i="6"/>
  <c r="AE84" i="6"/>
  <c r="AO69" i="6"/>
  <c r="AN106" i="6"/>
  <c r="AG36" i="6"/>
  <c r="AH95" i="6"/>
  <c r="AD45" i="6"/>
  <c r="AZ67" i="6"/>
  <c r="AH117" i="6"/>
  <c r="Y83" i="6"/>
  <c r="BD76" i="6"/>
  <c r="BA128" i="6"/>
  <c r="AM21" i="6"/>
  <c r="AF31" i="6"/>
  <c r="X123" i="6"/>
  <c r="AR69" i="6"/>
  <c r="AD56" i="6"/>
  <c r="AS99" i="6"/>
  <c r="AW50" i="6"/>
  <c r="AY26" i="6"/>
  <c r="AD111" i="6"/>
  <c r="AK99" i="6"/>
  <c r="AE102" i="6"/>
  <c r="BB100" i="6"/>
  <c r="AW31" i="6"/>
  <c r="AP30" i="6"/>
  <c r="AI118" i="6"/>
  <c r="BB97" i="6"/>
  <c r="AX122" i="6"/>
  <c r="BC92" i="6"/>
  <c r="AH122" i="6"/>
  <c r="AM67" i="6"/>
  <c r="AS78" i="6"/>
  <c r="W53" i="6"/>
  <c r="AJ31" i="6"/>
  <c r="AU123" i="6"/>
  <c r="AW42" i="6"/>
  <c r="AJ124" i="6"/>
  <c r="AZ22" i="6"/>
  <c r="BB22" i="6"/>
  <c r="BA55" i="6"/>
  <c r="V66" i="6"/>
  <c r="AP72" i="6"/>
  <c r="X23" i="6"/>
  <c r="AK75" i="6"/>
  <c r="AK43" i="6"/>
  <c r="AK91" i="6"/>
  <c r="Z71" i="6"/>
  <c r="X110" i="6"/>
  <c r="AU70" i="6"/>
  <c r="X122" i="6"/>
  <c r="U110" i="6"/>
  <c r="AZ107" i="6"/>
  <c r="AC56" i="6"/>
  <c r="Z42" i="6"/>
  <c r="AS62" i="6"/>
  <c r="AX93" i="6"/>
  <c r="U112" i="6"/>
  <c r="AE69" i="6"/>
  <c r="V76" i="6"/>
  <c r="AS30" i="6"/>
  <c r="Z62" i="6"/>
  <c r="AY104" i="6"/>
  <c r="AR40" i="6"/>
  <c r="AM121" i="6"/>
  <c r="BB98" i="6"/>
  <c r="AM25" i="6"/>
  <c r="AI77" i="6"/>
  <c r="AP70" i="6"/>
  <c r="AH50" i="6"/>
  <c r="AN22" i="6"/>
  <c r="AX84" i="6"/>
  <c r="AD128" i="6"/>
  <c r="AF62" i="6"/>
  <c r="AC97" i="6"/>
  <c r="AS49" i="6"/>
  <c r="AL68" i="6"/>
  <c r="U28" i="6"/>
  <c r="BA113" i="6"/>
  <c r="AN68" i="6"/>
  <c r="AY95" i="6"/>
  <c r="AL71" i="6"/>
  <c r="X27" i="6"/>
  <c r="AG115" i="6"/>
  <c r="AO57" i="6"/>
  <c r="AV115" i="6"/>
  <c r="AJ95" i="6"/>
  <c r="BA66" i="6"/>
  <c r="AF55" i="6"/>
  <c r="AZ86" i="6"/>
  <c r="U126" i="6"/>
  <c r="U78" i="6"/>
  <c r="U41" i="6"/>
  <c r="AY45" i="6"/>
  <c r="AF28" i="6"/>
  <c r="AZ58" i="6"/>
  <c r="AK38" i="6"/>
  <c r="AD98" i="6"/>
  <c r="BA28" i="6"/>
  <c r="AY64" i="6"/>
  <c r="AF106" i="6"/>
  <c r="AR65" i="6"/>
  <c r="AS97" i="6"/>
  <c r="AN113" i="6"/>
  <c r="AM39" i="6"/>
  <c r="AT119" i="6"/>
  <c r="AX36" i="6"/>
  <c r="X86" i="6"/>
  <c r="AL33" i="6"/>
  <c r="BD128" i="6"/>
  <c r="BC120" i="6"/>
  <c r="AS76" i="6"/>
  <c r="AG128" i="6"/>
  <c r="AI120" i="6"/>
  <c r="AO21" i="6"/>
  <c r="AO126" i="6"/>
  <c r="AE41" i="6"/>
  <c r="AI36" i="6"/>
  <c r="BB107" i="6"/>
  <c r="AV27" i="6"/>
  <c r="BA86" i="6"/>
  <c r="AJ116" i="6"/>
  <c r="Z72" i="6"/>
  <c r="AK107" i="6"/>
  <c r="Y73" i="6"/>
  <c r="BD97" i="6"/>
  <c r="AP115" i="6"/>
  <c r="AI22" i="6"/>
  <c r="AC119" i="6"/>
  <c r="AL126" i="6"/>
  <c r="AI82" i="6"/>
  <c r="AU106" i="6"/>
  <c r="AF35" i="6"/>
  <c r="Z109" i="6"/>
  <c r="AV125" i="6"/>
  <c r="BD63" i="6"/>
  <c r="BC109" i="6"/>
  <c r="BC54" i="6"/>
  <c r="AY120" i="6"/>
  <c r="AF114" i="6"/>
  <c r="AR64" i="6"/>
  <c r="AS74" i="6"/>
  <c r="AC83" i="6"/>
  <c r="BA85" i="6"/>
  <c r="AM38" i="6"/>
  <c r="AR72" i="6"/>
  <c r="AU119" i="6"/>
  <c r="BB50" i="6"/>
  <c r="AV47" i="6"/>
  <c r="AF41" i="6"/>
  <c r="AI121" i="6"/>
  <c r="AH43" i="6"/>
  <c r="AD78" i="6"/>
  <c r="W95" i="6"/>
  <c r="AE40" i="6"/>
  <c r="AQ67" i="6"/>
  <c r="AV32" i="6"/>
  <c r="AU56" i="6"/>
  <c r="AE52" i="6"/>
  <c r="AS58" i="6"/>
  <c r="Z73" i="6"/>
  <c r="AB112" i="6"/>
  <c r="AN124" i="6"/>
  <c r="AX40" i="6"/>
  <c r="V55" i="6"/>
  <c r="Y21" i="6"/>
  <c r="AR61" i="6"/>
  <c r="AG106" i="6"/>
  <c r="Z22" i="6"/>
  <c r="AD27" i="6"/>
  <c r="BB47" i="6"/>
  <c r="AN61" i="6"/>
  <c r="AH22" i="6"/>
  <c r="AP87" i="6"/>
  <c r="AW38" i="6"/>
  <c r="AO77" i="6"/>
  <c r="AI117" i="6"/>
  <c r="AM89" i="6"/>
  <c r="W93" i="6"/>
  <c r="AF73" i="6"/>
  <c r="AD35" i="6"/>
  <c r="AP58" i="6"/>
  <c r="AN29" i="6"/>
  <c r="AY43" i="6"/>
  <c r="AU98" i="6"/>
  <c r="AP73" i="6"/>
  <c r="AT113" i="6"/>
  <c r="Y53" i="6"/>
  <c r="AH102" i="6"/>
  <c r="AG86" i="6"/>
  <c r="AQ108" i="6"/>
  <c r="U83" i="6"/>
  <c r="Z80" i="6"/>
  <c r="AW40" i="6"/>
  <c r="AF124" i="6"/>
  <c r="AD21" i="6"/>
  <c r="AL43" i="6"/>
  <c r="BB51" i="6"/>
  <c r="AQ107" i="6"/>
  <c r="AM65" i="6"/>
  <c r="AV62" i="6"/>
  <c r="AJ88" i="6"/>
  <c r="AF42" i="6"/>
  <c r="AT41" i="6"/>
  <c r="BC98" i="6"/>
  <c r="U87" i="6"/>
  <c r="U77" i="6"/>
  <c r="X36" i="6"/>
  <c r="AE67" i="6"/>
  <c r="AT52" i="6"/>
  <c r="AD114" i="6"/>
  <c r="AQ38" i="6"/>
  <c r="BA119" i="6"/>
  <c r="AF63" i="6"/>
  <c r="AQ92" i="6"/>
  <c r="AX71" i="6"/>
  <c r="AO87" i="6"/>
  <c r="AA76" i="6"/>
  <c r="AK113" i="6"/>
  <c r="AA82" i="6"/>
  <c r="AF51" i="6"/>
  <c r="AS31" i="6"/>
  <c r="Y35" i="6"/>
  <c r="BB25" i="6"/>
  <c r="BC23" i="6"/>
  <c r="AD113" i="6"/>
  <c r="AN45" i="6"/>
  <c r="BC89" i="6"/>
  <c r="BB70" i="6"/>
  <c r="BB73" i="6"/>
  <c r="AU36" i="6"/>
  <c r="Y24" i="6"/>
  <c r="AG108" i="6"/>
  <c r="BD91" i="6"/>
  <c r="AT107" i="6"/>
  <c r="AM94" i="6"/>
  <c r="AL39" i="6"/>
  <c r="AS81" i="6"/>
  <c r="AN104" i="6"/>
  <c r="BB99" i="6"/>
  <c r="BA64" i="6"/>
  <c r="AZ122" i="6"/>
  <c r="AO110" i="6"/>
  <c r="AF102" i="6"/>
  <c r="AP111" i="6"/>
  <c r="AU64" i="6"/>
  <c r="BD21" i="6"/>
  <c r="AR108" i="6"/>
  <c r="AO37" i="6"/>
  <c r="BA31" i="6"/>
  <c r="U111" i="6"/>
  <c r="AF37" i="6"/>
  <c r="AT39" i="6"/>
  <c r="U42" i="6"/>
  <c r="BB110" i="6"/>
  <c r="BB61" i="6"/>
  <c r="AI92" i="6"/>
  <c r="AV35" i="6"/>
  <c r="AY61" i="6"/>
  <c r="AZ35" i="6"/>
  <c r="BB77" i="6"/>
  <c r="X33" i="6"/>
  <c r="AL99" i="6"/>
  <c r="AU45" i="6"/>
  <c r="AR84" i="6"/>
  <c r="AL88" i="6"/>
  <c r="AI103" i="6"/>
  <c r="BA42" i="6"/>
  <c r="AE124" i="6"/>
  <c r="AO55" i="6"/>
  <c r="AE31" i="6"/>
  <c r="AY113" i="6"/>
  <c r="AH72" i="6"/>
  <c r="AH123" i="6"/>
  <c r="AM120" i="6"/>
  <c r="AS69" i="6"/>
  <c r="AD43" i="6"/>
  <c r="AH69" i="6"/>
  <c r="AG59" i="6"/>
  <c r="AH106" i="6"/>
  <c r="W98" i="6"/>
  <c r="AL81" i="6"/>
  <c r="BC55" i="6"/>
  <c r="AO64" i="6"/>
  <c r="X29" i="6"/>
  <c r="BC112" i="6"/>
  <c r="AB60" i="6"/>
  <c r="AE108" i="6"/>
  <c r="U45" i="6"/>
  <c r="AK103" i="6"/>
  <c r="AK83" i="6"/>
  <c r="U52" i="6"/>
  <c r="AK102" i="6"/>
  <c r="X58" i="6"/>
  <c r="AK106" i="6"/>
  <c r="AI109" i="6"/>
  <c r="AB49" i="6"/>
  <c r="AD87" i="6"/>
  <c r="Z82" i="6"/>
  <c r="AU61" i="6"/>
  <c r="AV74" i="6"/>
  <c r="AX118" i="6"/>
  <c r="AD26" i="6"/>
  <c r="AB82" i="6"/>
  <c r="W115" i="6"/>
  <c r="AB28" i="6"/>
  <c r="U48" i="6"/>
  <c r="AP57" i="6"/>
  <c r="AO23" i="6"/>
  <c r="AB127" i="6"/>
  <c r="AB121" i="6"/>
  <c r="AP34" i="6"/>
  <c r="AW94" i="6"/>
  <c r="AZ94" i="6"/>
  <c r="BC108" i="6"/>
  <c r="AI21" i="6"/>
  <c r="BA82" i="6"/>
  <c r="BA87" i="6"/>
  <c r="U51" i="6"/>
  <c r="AG27" i="6"/>
  <c r="AL92" i="6"/>
  <c r="AQ64" i="6"/>
  <c r="AY56" i="6"/>
  <c r="AP99" i="6"/>
  <c r="AW99" i="6"/>
  <c r="AC89" i="6"/>
  <c r="AE33" i="6"/>
  <c r="AC67" i="6"/>
  <c r="BC95" i="6"/>
  <c r="BD80" i="6"/>
  <c r="AC91" i="6"/>
  <c r="X42" i="6"/>
  <c r="Z86" i="6"/>
  <c r="Y72" i="6"/>
  <c r="BB44" i="6"/>
  <c r="AW54" i="6"/>
  <c r="AG103" i="6"/>
  <c r="AF108" i="6"/>
  <c r="AF94" i="6"/>
  <c r="AF48" i="6"/>
  <c r="AS67" i="6"/>
  <c r="AE106" i="6"/>
  <c r="AH90" i="6"/>
  <c r="AQ123" i="6"/>
  <c r="AH96" i="6"/>
  <c r="Y118" i="6"/>
  <c r="AQ104" i="6"/>
  <c r="X106" i="6"/>
  <c r="AK114" i="6"/>
  <c r="AH97" i="6"/>
  <c r="AX21" i="6"/>
  <c r="AJ92" i="6"/>
  <c r="BA44" i="6"/>
  <c r="AU95" i="6"/>
  <c r="U68" i="6"/>
  <c r="AN28" i="6"/>
  <c r="BC127" i="6"/>
  <c r="AX80" i="6"/>
  <c r="AR101" i="6"/>
  <c r="AC61" i="6"/>
  <c r="AN103" i="6"/>
  <c r="AV91" i="6"/>
  <c r="V97" i="6"/>
  <c r="AS84" i="6"/>
  <c r="V90" i="6"/>
  <c r="U65" i="6"/>
  <c r="AB65" i="6"/>
  <c r="AS91" i="6"/>
  <c r="AU113" i="6"/>
  <c r="AS118" i="6"/>
  <c r="AH36" i="6"/>
  <c r="AW65" i="6"/>
  <c r="AH124" i="6"/>
  <c r="AY87" i="6"/>
  <c r="AY71" i="6"/>
  <c r="U92" i="6"/>
  <c r="AH120" i="6"/>
  <c r="AX52" i="6"/>
  <c r="AH21" i="6"/>
  <c r="W52" i="6"/>
  <c r="AN34" i="6"/>
  <c r="AJ56" i="6"/>
  <c r="AN116" i="6"/>
  <c r="W63" i="6"/>
  <c r="AD37" i="6"/>
  <c r="AK58" i="6"/>
  <c r="AB33" i="6"/>
  <c r="U55" i="6"/>
  <c r="AT30" i="6"/>
  <c r="AS90" i="6"/>
  <c r="AJ102" i="6"/>
  <c r="AK87" i="6"/>
  <c r="AF89" i="6"/>
  <c r="BA110" i="6"/>
  <c r="Y94" i="6"/>
  <c r="AE105" i="6"/>
  <c r="X61" i="6"/>
  <c r="Z37" i="6"/>
  <c r="X73" i="6"/>
  <c r="W30" i="6"/>
  <c r="AS93" i="6"/>
  <c r="X124" i="6"/>
  <c r="V123" i="6"/>
  <c r="Z33" i="6"/>
  <c r="AU104" i="6"/>
  <c r="AH40" i="6"/>
  <c r="AF38" i="6"/>
  <c r="AL106" i="6"/>
  <c r="AP118" i="6"/>
  <c r="BB104" i="6"/>
  <c r="AH99" i="6"/>
  <c r="AS126" i="6"/>
  <c r="AD125" i="6"/>
  <c r="AZ48" i="6"/>
  <c r="AC95" i="6"/>
  <c r="AA75" i="6"/>
  <c r="AB44" i="6"/>
  <c r="AZ21" i="6"/>
  <c r="AA126" i="6"/>
  <c r="BC103" i="6"/>
  <c r="W39" i="6"/>
  <c r="AP123" i="6"/>
  <c r="Y54" i="6"/>
  <c r="AT84" i="6"/>
  <c r="X113" i="6"/>
  <c r="AG97" i="6"/>
  <c r="AI127" i="6"/>
  <c r="Z53" i="6"/>
  <c r="BB85" i="6"/>
  <c r="AF44" i="6"/>
  <c r="AK122" i="6"/>
  <c r="AN101" i="6"/>
  <c r="AD71" i="6"/>
  <c r="AG109" i="6"/>
  <c r="AS111" i="6"/>
  <c r="U21" i="6"/>
  <c r="AQ99" i="6"/>
  <c r="AI23" i="6"/>
  <c r="W116" i="6"/>
  <c r="AA112" i="6"/>
  <c r="AK49" i="6"/>
  <c r="W56" i="6"/>
  <c r="AH83" i="6"/>
  <c r="AP81" i="6"/>
  <c r="AM115" i="6"/>
  <c r="V27" i="6"/>
  <c r="AO120" i="6"/>
  <c r="AI101" i="6"/>
  <c r="AG39" i="6"/>
  <c r="AZ116" i="6"/>
  <c r="AU23" i="6"/>
  <c r="AP116" i="6"/>
  <c r="AW66" i="6"/>
  <c r="AJ24" i="6"/>
  <c r="AK123" i="6"/>
  <c r="AV45" i="6"/>
  <c r="AC102" i="6"/>
  <c r="AT55" i="6"/>
  <c r="AP98" i="6"/>
  <c r="AW124" i="6"/>
  <c r="BA99" i="6"/>
  <c r="U121" i="6"/>
  <c r="AW84" i="6"/>
  <c r="AR121" i="6"/>
  <c r="BA70" i="6"/>
  <c r="AS68" i="6"/>
  <c r="U43" i="6"/>
  <c r="AX39" i="6"/>
  <c r="AE77" i="6"/>
  <c r="AO76" i="6"/>
  <c r="AD116" i="6"/>
  <c r="AU101" i="6"/>
  <c r="AL47" i="6"/>
  <c r="AF45" i="6"/>
  <c r="AD36" i="6"/>
  <c r="Z101" i="6"/>
  <c r="AQ52" i="6"/>
  <c r="AZ72" i="6"/>
  <c r="AI26" i="6"/>
  <c r="X95" i="6"/>
  <c r="BB87" i="6"/>
  <c r="Y110" i="6"/>
  <c r="AT127" i="6"/>
  <c r="AW121" i="6"/>
  <c r="Z34" i="6"/>
  <c r="AV24" i="6"/>
  <c r="AP109" i="6"/>
  <c r="AY96" i="6"/>
  <c r="AT116" i="6"/>
  <c r="AM47" i="6"/>
  <c r="AG125" i="6"/>
  <c r="AH31" i="6"/>
  <c r="W67" i="6"/>
  <c r="AP38" i="6"/>
  <c r="AP120" i="6"/>
  <c r="AI48" i="6"/>
  <c r="BC86" i="6"/>
  <c r="AD49" i="6"/>
  <c r="AL65" i="6"/>
  <c r="AJ66" i="6"/>
  <c r="AB32" i="6"/>
  <c r="BD86" i="6"/>
  <c r="AE72" i="6"/>
  <c r="Z74" i="6"/>
  <c r="AG113" i="6"/>
  <c r="BB127" i="6"/>
  <c r="AB122" i="6"/>
  <c r="AC62" i="6"/>
  <c r="Z121" i="6"/>
  <c r="AQ47" i="6"/>
  <c r="AH121" i="6"/>
  <c r="AA91" i="6"/>
  <c r="BC41" i="6"/>
  <c r="AB42" i="6"/>
  <c r="BC43" i="6"/>
  <c r="BC47" i="6"/>
  <c r="AZ64" i="6"/>
  <c r="AH73" i="6"/>
  <c r="AB56" i="6"/>
  <c r="AF46" i="6"/>
  <c r="AQ88" i="6"/>
  <c r="X125" i="6"/>
  <c r="AF47" i="6"/>
  <c r="BD66" i="6"/>
  <c r="AZ100" i="6"/>
  <c r="AP91" i="6"/>
  <c r="AC118" i="6"/>
  <c r="W100" i="6"/>
  <c r="AS63" i="6"/>
  <c r="AC88" i="6"/>
  <c r="AN46" i="6"/>
  <c r="AQ110" i="6"/>
  <c r="AO36" i="6"/>
  <c r="AN25" i="6"/>
  <c r="AA87" i="6"/>
  <c r="AC114" i="6"/>
  <c r="AT121" i="6"/>
  <c r="BB59" i="6"/>
  <c r="AO116" i="6"/>
  <c r="AY107" i="6"/>
  <c r="U115" i="6"/>
  <c r="AQ55" i="6"/>
  <c r="AC42" i="6"/>
  <c r="AZ73" i="6"/>
  <c r="AO66" i="6"/>
  <c r="AI84" i="6"/>
  <c r="AQ83" i="6"/>
  <c r="BC78" i="6"/>
  <c r="AZ89" i="6"/>
  <c r="AV85" i="6"/>
  <c r="AE112" i="6"/>
  <c r="AC113" i="6"/>
  <c r="AL50" i="6"/>
  <c r="AD51" i="6"/>
  <c r="AG82" i="6"/>
  <c r="AK76" i="6"/>
  <c r="X93" i="6"/>
  <c r="AS66" i="6"/>
  <c r="AB53" i="6"/>
  <c r="Z103" i="6"/>
  <c r="U53" i="6"/>
  <c r="U39" i="6"/>
  <c r="AP61" i="6"/>
  <c r="AA43" i="6"/>
  <c r="AK117" i="6"/>
  <c r="AA40" i="6"/>
  <c r="AR78" i="6"/>
  <c r="BC122" i="6"/>
  <c r="AN49" i="6"/>
  <c r="BD67" i="6"/>
  <c r="BD69" i="6"/>
  <c r="AK115" i="6"/>
  <c r="AC87" i="6"/>
  <c r="AC57" i="6"/>
  <c r="Z81" i="6"/>
  <c r="AK29" i="6"/>
  <c r="AN65" i="6"/>
  <c r="U90" i="6"/>
  <c r="Z36" i="6"/>
  <c r="AR63" i="6"/>
  <c r="AS115" i="6"/>
  <c r="W28" i="6"/>
  <c r="AG117" i="6"/>
  <c r="BB78" i="6"/>
  <c r="BD50" i="6"/>
  <c r="AS75" i="6"/>
  <c r="AO109" i="6"/>
  <c r="Z105" i="6"/>
  <c r="AE99" i="6"/>
  <c r="BA125" i="6"/>
  <c r="AA120" i="6"/>
  <c r="AL90" i="6"/>
  <c r="AV103" i="6"/>
  <c r="AM117" i="6"/>
  <c r="AX42" i="6"/>
  <c r="BD70" i="6"/>
  <c r="AI98" i="6"/>
  <c r="AE32" i="6"/>
  <c r="AI27" i="6"/>
  <c r="AO106" i="6"/>
  <c r="AG96" i="6"/>
  <c r="Z127" i="6"/>
  <c r="AM109" i="6"/>
  <c r="AK36" i="6"/>
  <c r="AS82" i="6"/>
  <c r="AW44" i="6"/>
  <c r="AP90" i="6"/>
  <c r="AD122" i="6"/>
  <c r="AA53" i="6"/>
  <c r="AM82" i="6"/>
  <c r="X94" i="6"/>
  <c r="BC87" i="6"/>
  <c r="AZ55" i="6"/>
  <c r="AI88" i="6"/>
  <c r="AF61" i="6"/>
  <c r="AW76" i="6"/>
  <c r="AK95" i="6"/>
  <c r="AJ72" i="6"/>
  <c r="V36" i="6"/>
  <c r="AS80" i="6"/>
  <c r="AR53" i="6"/>
  <c r="AM41" i="6"/>
  <c r="AH76" i="6"/>
  <c r="BD73" i="6"/>
  <c r="AA51" i="6"/>
  <c r="AA108" i="6"/>
  <c r="AM87" i="6"/>
  <c r="AJ33" i="6"/>
  <c r="AZ51" i="6"/>
  <c r="AA52" i="6"/>
  <c r="AU22" i="6"/>
  <c r="AM42" i="6"/>
  <c r="U35" i="6"/>
  <c r="AG80" i="6"/>
  <c r="AO123" i="6"/>
  <c r="AE122" i="6"/>
  <c r="AS105" i="6"/>
  <c r="AJ85" i="6"/>
  <c r="AL116" i="6"/>
  <c r="AA54" i="6"/>
  <c r="AB48" i="6"/>
  <c r="AP128" i="6"/>
  <c r="AW110" i="6"/>
  <c r="AH55" i="6"/>
  <c r="AH112" i="6"/>
  <c r="AB69" i="6"/>
  <c r="Y84" i="6"/>
  <c r="AM123" i="6"/>
  <c r="AG35" i="6"/>
  <c r="AX67" i="6"/>
  <c r="AC48" i="6"/>
  <c r="AM81" i="6"/>
  <c r="Y109" i="6"/>
  <c r="V58" i="6"/>
  <c r="AE75" i="6"/>
  <c r="AV99" i="6"/>
  <c r="AD74" i="6"/>
  <c r="Z85" i="6"/>
  <c r="AU44" i="6"/>
  <c r="AZ85" i="6"/>
  <c r="AG95" i="6"/>
  <c r="Z57" i="6"/>
  <c r="AY49" i="6"/>
  <c r="AK72" i="6"/>
  <c r="AY35" i="6"/>
  <c r="AH47" i="6"/>
  <c r="AA84" i="6"/>
  <c r="AE36" i="6"/>
  <c r="AE26" i="6"/>
  <c r="AM80" i="6"/>
  <c r="AC65" i="6"/>
  <c r="U32" i="6"/>
  <c r="Y52" i="6"/>
  <c r="AX76" i="6"/>
  <c r="U49" i="6"/>
  <c r="AH77" i="6"/>
  <c r="Z51" i="6"/>
  <c r="AW51" i="6"/>
  <c r="AN48" i="6"/>
  <c r="AK48" i="6"/>
  <c r="AH81" i="6"/>
  <c r="AY110" i="6"/>
  <c r="AF50" i="6"/>
  <c r="AI81" i="6"/>
  <c r="AX101" i="6"/>
  <c r="AB125" i="6"/>
  <c r="AR70" i="6"/>
  <c r="BC100" i="6"/>
  <c r="AI72" i="6"/>
  <c r="AI50" i="6"/>
  <c r="AR81" i="6"/>
  <c r="AH34" i="6"/>
  <c r="AG89" i="6"/>
  <c r="AL60" i="6"/>
  <c r="V105" i="6"/>
  <c r="AD77" i="6"/>
  <c r="AD86" i="6"/>
  <c r="AX74" i="6"/>
  <c r="Z30" i="6"/>
  <c r="AU40" i="6"/>
  <c r="AN79" i="6"/>
  <c r="X39" i="6"/>
  <c r="AX81" i="6"/>
  <c r="BD36" i="6"/>
  <c r="AH61" i="6"/>
  <c r="AR68" i="6"/>
  <c r="AN99" i="6"/>
  <c r="U75" i="6"/>
  <c r="AK78" i="6"/>
  <c r="AG93" i="6"/>
  <c r="AQ128" i="6"/>
  <c r="AB91" i="6"/>
  <c r="X89" i="6"/>
  <c r="AC47" i="6"/>
  <c r="X28" i="6"/>
  <c r="AH33" i="6"/>
  <c r="BA65" i="6"/>
  <c r="AM128" i="6"/>
  <c r="AW23" i="6"/>
  <c r="AH119" i="6"/>
  <c r="AV44" i="6"/>
  <c r="AU37" i="6"/>
  <c r="AP92" i="6"/>
  <c r="BA68" i="6"/>
  <c r="BB26" i="6"/>
  <c r="Z50" i="6"/>
  <c r="AT104" i="6"/>
  <c r="BD31" i="6"/>
  <c r="AI31" i="6"/>
  <c r="AA27" i="6"/>
  <c r="AT108" i="6"/>
  <c r="Z67" i="6"/>
  <c r="AW22" i="6"/>
  <c r="AG58" i="6"/>
  <c r="AR109" i="6"/>
  <c r="AV105" i="6"/>
  <c r="AD65" i="6"/>
  <c r="AW107" i="6"/>
  <c r="U84" i="6"/>
  <c r="AK111" i="6"/>
  <c r="AD108" i="6"/>
  <c r="BC58" i="6"/>
  <c r="AF125" i="6"/>
  <c r="AZ115" i="6"/>
  <c r="AN39" i="6"/>
  <c r="AB103" i="6"/>
  <c r="X116" i="6"/>
  <c r="AJ47" i="6"/>
  <c r="AK92" i="6"/>
  <c r="AP85" i="6"/>
  <c r="W106" i="6"/>
  <c r="AN119" i="6"/>
  <c r="AO28" i="6"/>
  <c r="AK100" i="6"/>
  <c r="AX68" i="6"/>
  <c r="AO75" i="6"/>
  <c r="AN96" i="6"/>
  <c r="BD96" i="6"/>
  <c r="AI97" i="6"/>
  <c r="AT99" i="6"/>
  <c r="V95" i="6"/>
  <c r="AR112" i="6"/>
  <c r="AQ106" i="6"/>
  <c r="AP65" i="6"/>
  <c r="AZ106" i="6"/>
  <c r="AD93" i="6"/>
  <c r="BB123" i="6"/>
  <c r="AY114" i="6"/>
  <c r="AV79" i="6"/>
  <c r="AB74" i="6"/>
  <c r="U128" i="6"/>
  <c r="AC54" i="6"/>
  <c r="V59" i="6"/>
  <c r="AW41" i="6"/>
  <c r="AA121" i="6"/>
  <c r="AV60" i="6"/>
  <c r="AK86" i="6"/>
  <c r="AW62" i="6"/>
  <c r="AV40" i="6"/>
  <c r="AO100" i="6"/>
  <c r="AG68" i="6"/>
  <c r="AS71" i="6"/>
  <c r="AA119" i="6"/>
  <c r="AK45" i="6"/>
  <c r="AQ70" i="6"/>
  <c r="AW119" i="6"/>
  <c r="AV69" i="6"/>
  <c r="BC77" i="6"/>
  <c r="BB52" i="6"/>
  <c r="AJ49" i="6"/>
  <c r="AO91" i="6"/>
  <c r="Y85" i="6"/>
  <c r="Y88" i="6"/>
  <c r="AF116" i="6"/>
  <c r="AM43" i="6"/>
  <c r="AZ34" i="6"/>
  <c r="BC113" i="6"/>
  <c r="AD119" i="6"/>
  <c r="AI64" i="6"/>
  <c r="W46" i="6"/>
  <c r="BC90" i="6"/>
  <c r="BB84" i="6"/>
  <c r="BD74" i="6"/>
  <c r="V77" i="6"/>
  <c r="AE55" i="6"/>
  <c r="W125" i="6"/>
  <c r="Y22" i="6"/>
  <c r="AB90" i="6"/>
  <c r="AS77" i="6"/>
  <c r="AT47" i="6"/>
  <c r="AG61" i="6"/>
  <c r="AP35" i="6"/>
  <c r="X30" i="6"/>
  <c r="Z107" i="6"/>
  <c r="BB108" i="6"/>
  <c r="AZ43" i="6"/>
  <c r="AY98" i="6"/>
  <c r="AV54" i="6"/>
  <c r="BB119" i="6"/>
  <c r="Y41" i="6"/>
  <c r="AO47" i="6"/>
  <c r="X44" i="6"/>
  <c r="AC111" i="6"/>
  <c r="AV50" i="6"/>
  <c r="BC66" i="6"/>
  <c r="AS79" i="6"/>
  <c r="BC28" i="6"/>
  <c r="V88" i="6"/>
  <c r="AW34" i="6"/>
  <c r="AE62" i="6"/>
  <c r="W65" i="6"/>
  <c r="AY25" i="6"/>
  <c r="AK80" i="6"/>
  <c r="AZ42" i="6"/>
  <c r="AI43" i="6"/>
  <c r="AL37" i="6"/>
  <c r="AU90" i="6"/>
  <c r="V128" i="6"/>
  <c r="AM55" i="6"/>
  <c r="Y34" i="6"/>
  <c r="AB26" i="6"/>
  <c r="AM22" i="6"/>
  <c r="AH42" i="6"/>
  <c r="BB67" i="6"/>
  <c r="AW103" i="6"/>
  <c r="U29" i="6"/>
  <c r="AR110" i="6"/>
  <c r="U113" i="6"/>
  <c r="BA98" i="6"/>
  <c r="AF70" i="6"/>
  <c r="AH75" i="6"/>
  <c r="AK30" i="6"/>
  <c r="AM63" i="6"/>
  <c r="AI68" i="6"/>
  <c r="AY97" i="6"/>
  <c r="AW36" i="6"/>
  <c r="AE127" i="6"/>
  <c r="AT42" i="6"/>
  <c r="BC46" i="6"/>
  <c r="Y39" i="6"/>
  <c r="AR36" i="6"/>
  <c r="AD38" i="6"/>
  <c r="BD78" i="6"/>
  <c r="AO73" i="6"/>
  <c r="AM84" i="6"/>
  <c r="AC24" i="6"/>
  <c r="AB27" i="6"/>
  <c r="AD22" i="6"/>
  <c r="AT78" i="6"/>
  <c r="BA29" i="6"/>
  <c r="AQ91" i="6"/>
  <c r="AH93" i="6"/>
  <c r="AV70" i="6"/>
  <c r="AV30" i="6"/>
  <c r="X109" i="6"/>
  <c r="BC40" i="6"/>
  <c r="AO71" i="6"/>
  <c r="V104" i="6"/>
  <c r="AT125" i="6"/>
  <c r="AH23" i="6"/>
  <c r="AF54" i="6"/>
  <c r="V103" i="6"/>
  <c r="AW68" i="6"/>
  <c r="X101" i="6"/>
  <c r="AL24" i="6"/>
  <c r="X72" i="6"/>
  <c r="AF26" i="6"/>
  <c r="AR38" i="6"/>
  <c r="AC37" i="6"/>
  <c r="AL62" i="6"/>
  <c r="AQ48" i="6"/>
  <c r="AG77" i="6"/>
  <c r="AN128" i="6"/>
  <c r="BD34" i="6"/>
  <c r="AT87" i="6"/>
  <c r="AF60" i="6"/>
  <c r="AO122" i="6"/>
  <c r="AX107" i="6"/>
  <c r="BA49" i="6"/>
  <c r="AF22" i="6"/>
  <c r="AA100" i="6"/>
  <c r="AT112" i="6"/>
  <c r="BA122" i="6"/>
  <c r="AV28" i="6"/>
  <c r="AH126" i="6"/>
  <c r="BD54" i="6"/>
  <c r="BC42" i="6"/>
  <c r="AG100" i="6"/>
  <c r="AA83" i="6"/>
  <c r="AS73" i="6"/>
  <c r="AX58" i="6"/>
  <c r="AH53" i="6"/>
  <c r="W91" i="6"/>
  <c r="AJ123" i="6"/>
  <c r="AG60" i="6"/>
  <c r="AX47" i="6"/>
  <c r="AM46" i="6"/>
  <c r="AE104" i="6"/>
  <c r="AA63" i="6"/>
  <c r="BB109" i="6"/>
  <c r="AL27" i="6"/>
  <c r="AV48" i="6"/>
  <c r="AP108" i="6"/>
  <c r="AE116" i="6"/>
  <c r="AV55" i="6"/>
  <c r="AO48" i="6"/>
  <c r="BB122" i="6"/>
  <c r="U33" i="6"/>
  <c r="Z95" i="6"/>
  <c r="W99" i="6"/>
  <c r="BB21" i="6"/>
  <c r="AH107" i="6"/>
  <c r="V25" i="6"/>
  <c r="AC82" i="6"/>
  <c r="AO102" i="6"/>
  <c r="AU122" i="6"/>
  <c r="AB45" i="6"/>
  <c r="U82" i="6"/>
  <c r="AV96" i="6"/>
  <c r="V99" i="6"/>
  <c r="AT85" i="6"/>
  <c r="AH64" i="6"/>
  <c r="AS21" i="6"/>
  <c r="AT91" i="6"/>
  <c r="W81" i="6"/>
  <c r="AU76" i="6"/>
  <c r="X99" i="6"/>
  <c r="BD93" i="6"/>
  <c r="AW120" i="6"/>
  <c r="Z65" i="6"/>
  <c r="AC121" i="6"/>
  <c r="AY103" i="6"/>
  <c r="BC57" i="6"/>
  <c r="AI116" i="6"/>
  <c r="AZ78" i="6"/>
  <c r="AM96" i="6"/>
  <c r="AJ52" i="6"/>
  <c r="AR76" i="6"/>
  <c r="AM119" i="6"/>
  <c r="AA60" i="6"/>
  <c r="AS95" i="6"/>
  <c r="AE22" i="6"/>
  <c r="AJ57" i="6"/>
  <c r="AI87" i="6"/>
  <c r="AZ49" i="6"/>
  <c r="V38" i="6"/>
  <c r="AX96" i="6"/>
  <c r="AS50" i="6"/>
  <c r="AA56" i="6"/>
  <c r="AX54" i="6"/>
  <c r="V80" i="6"/>
  <c r="AF25" i="6"/>
  <c r="AP119" i="6"/>
  <c r="AK124" i="6"/>
  <c r="AU79" i="6"/>
  <c r="BC22" i="6"/>
  <c r="AM118" i="6"/>
  <c r="AM111" i="6"/>
  <c r="AG114" i="6"/>
  <c r="AC103" i="6"/>
  <c r="AX72" i="6"/>
  <c r="AP71" i="6"/>
  <c r="U105" i="6"/>
  <c r="AW125" i="6"/>
  <c r="AA31" i="6"/>
  <c r="AJ110" i="6"/>
  <c r="AF90" i="6"/>
  <c r="AI107" i="6"/>
  <c r="BA95" i="6"/>
  <c r="AR62" i="6"/>
  <c r="AH38" i="6"/>
  <c r="AV111" i="6"/>
  <c r="AZ57" i="6"/>
  <c r="AK74" i="6"/>
  <c r="AB52" i="6"/>
  <c r="Y75" i="6"/>
  <c r="AV98" i="6"/>
  <c r="BD47" i="6"/>
  <c r="BB57" i="6"/>
  <c r="BD77" i="6"/>
  <c r="X53" i="6"/>
  <c r="AE87" i="6"/>
  <c r="AF49" i="6"/>
  <c r="AU128" i="6"/>
  <c r="AR123" i="6"/>
  <c r="V79" i="6"/>
  <c r="X102" i="6"/>
  <c r="U50" i="6"/>
  <c r="AR119" i="6"/>
  <c r="AK22" i="6"/>
  <c r="AT24" i="6"/>
  <c r="AF122" i="6"/>
  <c r="AO114" i="6"/>
  <c r="BB114" i="6"/>
  <c r="AH70" i="6"/>
  <c r="AD94" i="6"/>
  <c r="BA120" i="6"/>
  <c r="X119" i="6"/>
  <c r="U76" i="6"/>
  <c r="AU77" i="6"/>
  <c r="AJ48" i="6"/>
  <c r="BA83" i="6"/>
  <c r="AF85" i="6"/>
  <c r="AO81" i="6"/>
  <c r="AJ22" i="6"/>
  <c r="AG63" i="6"/>
  <c r="Y113" i="6"/>
  <c r="AC90" i="6"/>
  <c r="AE34" i="6"/>
  <c r="AB79" i="6"/>
  <c r="U91" i="6"/>
  <c r="AB68" i="6"/>
  <c r="AY128" i="6"/>
  <c r="AR94" i="6"/>
  <c r="AA55" i="6"/>
  <c r="AK70" i="6"/>
  <c r="BC27" i="6"/>
  <c r="AZ79" i="6"/>
  <c r="AJ25" i="6"/>
  <c r="AL84" i="6"/>
  <c r="AB99" i="6"/>
  <c r="AY127" i="6"/>
  <c r="AU34" i="6"/>
  <c r="W37" i="6"/>
  <c r="W23" i="6"/>
  <c r="AR32" i="6"/>
  <c r="AW71" i="6"/>
  <c r="U66" i="6"/>
  <c r="Y105" i="6"/>
  <c r="AU55" i="6"/>
  <c r="V23" i="6"/>
  <c r="AZ111" i="6"/>
  <c r="AQ59" i="6"/>
  <c r="AF92" i="6"/>
  <c r="AF30" i="6"/>
  <c r="AG21" i="6"/>
  <c r="AE107" i="6"/>
  <c r="W107" i="6"/>
  <c r="U61" i="6"/>
  <c r="U54" i="6"/>
  <c r="W60" i="6"/>
  <c r="AA98" i="6"/>
  <c r="BA30" i="6"/>
  <c r="W104" i="6"/>
  <c r="AC94" i="6"/>
  <c r="AT73" i="6"/>
  <c r="BA72" i="6"/>
  <c r="BB106" i="6"/>
  <c r="AE88" i="6"/>
  <c r="AE109" i="6"/>
  <c r="AT60" i="6"/>
  <c r="BA60" i="6"/>
  <c r="BB71" i="6"/>
  <c r="Z125" i="6"/>
  <c r="AG67" i="6"/>
  <c r="AB115" i="6"/>
  <c r="AI105" i="6"/>
  <c r="Y69" i="6"/>
  <c r="AX25" i="6"/>
  <c r="AR71" i="6"/>
  <c r="AK120" i="6"/>
  <c r="W124" i="6"/>
  <c r="AR46" i="6"/>
  <c r="AU109" i="6"/>
  <c r="AH46" i="6"/>
  <c r="AL91" i="6"/>
  <c r="AF80" i="6"/>
  <c r="AB126" i="6"/>
  <c r="V53" i="6"/>
  <c r="U34" i="6"/>
  <c r="AQ73" i="6"/>
  <c r="AF93" i="6"/>
  <c r="X83" i="6"/>
  <c r="BA103" i="6"/>
  <c r="AV34" i="6"/>
  <c r="AR75" i="6"/>
  <c r="AW112" i="6"/>
  <c r="AI61" i="6"/>
  <c r="AO49" i="6"/>
  <c r="AX44" i="6"/>
  <c r="V51" i="6"/>
  <c r="AZ32" i="6"/>
  <c r="AF101" i="6"/>
  <c r="AU54" i="6"/>
  <c r="AE91" i="6"/>
  <c r="AJ80" i="6"/>
  <c r="AY91" i="6"/>
  <c r="AK96" i="6"/>
  <c r="AM61" i="6"/>
  <c r="W92" i="6"/>
  <c r="AU69" i="6"/>
  <c r="AA74" i="6"/>
  <c r="AC125" i="6"/>
  <c r="Y117" i="6"/>
  <c r="BD48" i="6"/>
  <c r="BB88" i="6"/>
  <c r="AW109" i="6"/>
  <c r="BB66" i="6"/>
  <c r="AG81" i="6"/>
  <c r="AV128" i="6"/>
  <c r="AK79" i="6"/>
  <c r="BA43" i="6"/>
  <c r="Y51" i="6"/>
  <c r="AL86" i="6"/>
  <c r="V124" i="6"/>
  <c r="AB50" i="6"/>
  <c r="BC33" i="6"/>
  <c r="AK118" i="6"/>
  <c r="BB89" i="6"/>
  <c r="AW85" i="6"/>
  <c r="AC116" i="6"/>
  <c r="AI56" i="6"/>
  <c r="U102" i="6"/>
  <c r="BB95" i="6"/>
  <c r="AW35" i="6"/>
  <c r="AS85" i="6"/>
  <c r="AD110" i="6"/>
  <c r="AK59" i="6"/>
  <c r="AN70" i="6"/>
  <c r="AN121" i="6"/>
  <c r="AG52" i="6"/>
  <c r="AX56" i="6"/>
  <c r="AJ44" i="6"/>
  <c r="AM98" i="6"/>
  <c r="AY68" i="6"/>
  <c r="AS64" i="6"/>
  <c r="BB42" i="6"/>
  <c r="AT54" i="6"/>
  <c r="AJ78" i="6"/>
  <c r="AA93" i="6"/>
  <c r="BA102" i="6"/>
  <c r="V115" i="6"/>
  <c r="AV121" i="6"/>
  <c r="AD58" i="6"/>
  <c r="W68" i="6"/>
  <c r="AV39" i="6"/>
  <c r="AC81" i="6"/>
  <c r="AH28" i="6"/>
  <c r="U106" i="6"/>
  <c r="AD97" i="6"/>
  <c r="AC106" i="6"/>
  <c r="AI46" i="6"/>
  <c r="AR57" i="6"/>
  <c r="AJ81" i="6"/>
  <c r="BD45" i="6"/>
  <c r="Z61" i="6"/>
  <c r="AA48" i="6"/>
  <c r="AD32" i="6"/>
  <c r="Y77" i="6"/>
  <c r="AL42" i="6"/>
  <c r="BD40" i="6"/>
  <c r="AU125" i="6"/>
  <c r="AA33" i="6"/>
  <c r="AG112" i="6"/>
  <c r="AA106" i="6"/>
  <c r="AM44" i="6"/>
  <c r="W113" i="6"/>
  <c r="AE125" i="6"/>
  <c r="AC77" i="6"/>
  <c r="AV117" i="6"/>
  <c r="AV109" i="6"/>
  <c r="BA96" i="6"/>
  <c r="AQ50" i="6"/>
  <c r="Z63" i="6"/>
  <c r="U79" i="6"/>
  <c r="AI78" i="6"/>
  <c r="X57" i="6"/>
  <c r="BC21" i="6"/>
  <c r="BC94" i="6"/>
  <c r="AF39" i="6"/>
  <c r="AS51" i="6"/>
  <c r="AV102" i="6"/>
  <c r="AP53" i="6"/>
  <c r="AM125" i="6"/>
  <c r="AE95" i="6"/>
  <c r="W72" i="6"/>
  <c r="AX70" i="6"/>
  <c r="AG83" i="6"/>
  <c r="Y98" i="6"/>
  <c r="AI128" i="6"/>
  <c r="AS109" i="6"/>
  <c r="AM64" i="6"/>
  <c r="BA52" i="6"/>
  <c r="AH60" i="6"/>
  <c r="AY90" i="6"/>
  <c r="AD120" i="6"/>
  <c r="AM40" i="6"/>
  <c r="AD42" i="6"/>
  <c r="AN63" i="6"/>
  <c r="AI41" i="6"/>
  <c r="BB74" i="6"/>
  <c r="AB47" i="6"/>
  <c r="AN118" i="6"/>
  <c r="AU114" i="6"/>
  <c r="Y36" i="6"/>
  <c r="X63" i="6"/>
  <c r="AC93" i="6"/>
  <c r="BD42" i="6"/>
  <c r="BD35" i="6"/>
  <c r="AI93" i="6"/>
  <c r="BB69" i="6"/>
  <c r="AN83" i="6"/>
  <c r="Z25" i="6"/>
  <c r="AH41" i="6"/>
  <c r="AW64" i="6"/>
  <c r="AX49" i="6"/>
  <c r="BD57" i="6"/>
  <c r="AL85" i="6"/>
  <c r="AL76" i="6"/>
  <c r="AJ30" i="6"/>
  <c r="AH32" i="6"/>
  <c r="BD85" i="6"/>
  <c r="X24" i="6"/>
  <c r="BB29" i="6"/>
  <c r="AM36" i="6"/>
  <c r="AK34" i="6"/>
  <c r="U67" i="6"/>
  <c r="AT98" i="6"/>
  <c r="Y91" i="6"/>
  <c r="Y125" i="6"/>
  <c r="AZ77" i="6"/>
  <c r="BB79" i="6"/>
  <c r="AU124" i="6"/>
  <c r="AU21" i="6"/>
  <c r="AB123" i="6"/>
  <c r="BD68" i="6"/>
  <c r="BA56" i="6"/>
  <c r="W112" i="6"/>
  <c r="AT57" i="6"/>
  <c r="AO85" i="6"/>
  <c r="BB120" i="6"/>
  <c r="AZ84" i="6"/>
  <c r="AY34" i="6"/>
  <c r="AB102" i="6"/>
  <c r="U64" i="6"/>
  <c r="Y61" i="6"/>
  <c r="AM68" i="6"/>
  <c r="AK33" i="6"/>
  <c r="AB117" i="6"/>
  <c r="AZ121" i="6"/>
  <c r="AN62" i="6"/>
  <c r="AE121" i="6"/>
  <c r="AC98" i="6"/>
  <c r="AY40" i="6"/>
  <c r="AQ32" i="6"/>
  <c r="AO26" i="6"/>
  <c r="AV63" i="6"/>
  <c r="AK56" i="6"/>
  <c r="AD61" i="6"/>
  <c r="AY119" i="6"/>
  <c r="AM85" i="6"/>
  <c r="AK68" i="6"/>
  <c r="W61" i="6"/>
  <c r="BB96" i="6"/>
  <c r="AU59" i="6"/>
  <c r="AB114" i="6"/>
  <c r="AW21" i="6"/>
  <c r="AR48" i="6"/>
  <c r="AI125" i="6"/>
  <c r="AN21" i="6"/>
  <c r="AE38" i="6"/>
  <c r="AU96" i="6"/>
  <c r="AP74" i="6"/>
  <c r="AW32" i="6"/>
  <c r="BC115" i="6"/>
  <c r="AD81" i="6"/>
  <c r="AM99" i="6"/>
  <c r="AQ93" i="6"/>
  <c r="AW101" i="6"/>
  <c r="V42" i="6"/>
  <c r="Y112" i="6"/>
  <c r="U96" i="6"/>
  <c r="AQ51" i="6"/>
  <c r="AR90" i="6"/>
  <c r="W108" i="6"/>
  <c r="AZ31" i="6"/>
  <c r="AW67" i="6"/>
  <c r="AQ36" i="6"/>
  <c r="AJ108" i="6"/>
  <c r="X104" i="6"/>
  <c r="AH66" i="6"/>
  <c r="BC31" i="6"/>
  <c r="AC58" i="6"/>
  <c r="U117" i="6"/>
  <c r="AV112" i="6"/>
  <c r="AA107" i="6"/>
  <c r="AO52" i="6"/>
  <c r="AI76" i="6"/>
  <c r="W50" i="6"/>
  <c r="AA61" i="6"/>
  <c r="BA50" i="6"/>
  <c r="V110" i="6"/>
  <c r="AI44" i="6"/>
  <c r="AC35" i="6"/>
  <c r="Z97" i="6"/>
  <c r="AO74" i="6"/>
  <c r="AM29" i="6"/>
  <c r="AW123" i="6"/>
  <c r="AM54" i="6"/>
  <c r="AU63" i="6"/>
  <c r="AS57" i="6"/>
  <c r="Z91" i="6"/>
  <c r="BD114" i="6"/>
  <c r="AQ115" i="6"/>
  <c r="AG98" i="6"/>
  <c r="AC120" i="6"/>
  <c r="AO39" i="6"/>
  <c r="BB55" i="6"/>
  <c r="AB98" i="6"/>
  <c r="AT50" i="6"/>
  <c r="AT103" i="6"/>
  <c r="AC80" i="6"/>
  <c r="X121" i="6"/>
  <c r="AF64" i="6"/>
  <c r="AG75" i="6"/>
  <c r="AT34" i="6"/>
  <c r="W76" i="6"/>
  <c r="U23" i="6"/>
  <c r="AU28" i="6"/>
  <c r="AK25" i="6"/>
  <c r="AR27" i="6"/>
  <c r="AN71" i="6"/>
  <c r="AN24" i="6"/>
  <c r="AU97" i="6"/>
  <c r="AZ25" i="6"/>
  <c r="BD60" i="6"/>
  <c r="AS106" i="6"/>
  <c r="AG37" i="6"/>
  <c r="AU121" i="6"/>
  <c r="BD33" i="6"/>
  <c r="AU38" i="6"/>
  <c r="BD56" i="6"/>
  <c r="AS124" i="6"/>
  <c r="AL127" i="6"/>
  <c r="AI32" i="6"/>
  <c r="U85" i="6"/>
  <c r="AI52" i="6"/>
  <c r="AR29" i="6"/>
  <c r="BA81" i="6"/>
  <c r="BB53" i="6"/>
  <c r="BA69" i="6"/>
  <c r="AS98" i="6"/>
  <c r="BC65" i="6"/>
  <c r="AW97" i="6"/>
  <c r="Z113" i="6"/>
  <c r="AY76" i="6"/>
  <c r="W122" i="6"/>
  <c r="AX114" i="6"/>
  <c r="AE35" i="6"/>
  <c r="AJ38" i="6"/>
  <c r="AI40" i="6"/>
  <c r="AQ40" i="6"/>
  <c r="X66" i="6"/>
  <c r="AN85" i="6"/>
  <c r="AL114" i="6"/>
  <c r="AP68" i="6"/>
  <c r="AW122" i="6"/>
  <c r="BC48" i="6"/>
  <c r="AV78" i="6"/>
  <c r="BA71" i="6"/>
  <c r="AO98" i="6"/>
  <c r="BB80" i="6"/>
  <c r="AB128" i="6"/>
  <c r="AT97" i="6"/>
  <c r="Z55" i="6"/>
  <c r="AP102" i="6"/>
  <c r="BB45" i="6"/>
  <c r="AQ120" i="6"/>
  <c r="AZ40" i="6"/>
  <c r="AX78" i="6"/>
  <c r="AN67" i="6"/>
  <c r="AE94" i="6"/>
  <c r="BC121" i="6"/>
  <c r="BB93" i="6"/>
  <c r="AA81" i="6"/>
  <c r="AD90" i="6"/>
  <c r="AB84" i="6"/>
  <c r="AR66" i="6"/>
  <c r="AZ101" i="6"/>
  <c r="AT74" i="6"/>
  <c r="AJ117" i="6"/>
  <c r="Y26" i="6"/>
  <c r="AE82" i="6"/>
  <c r="BD90" i="6"/>
  <c r="V39" i="6"/>
  <c r="V122" i="6"/>
  <c r="AG50" i="6"/>
  <c r="AN88" i="6"/>
  <c r="Y101" i="6"/>
  <c r="AL124" i="6"/>
  <c r="AA127" i="6"/>
  <c r="AP51" i="6"/>
  <c r="AI24" i="6"/>
  <c r="AI25" i="6"/>
  <c r="AT44" i="6"/>
  <c r="AC31" i="6"/>
  <c r="AN86" i="6"/>
  <c r="W119" i="6"/>
  <c r="AW77" i="6"/>
  <c r="Z84" i="6"/>
  <c r="AS94" i="6"/>
  <c r="BD98" i="6"/>
  <c r="Z126" i="6"/>
  <c r="BB75" i="6"/>
  <c r="AN37" i="6"/>
  <c r="Y28" i="6"/>
  <c r="AU116" i="6"/>
  <c r="W26" i="6"/>
  <c r="BD109" i="6"/>
  <c r="AX83" i="6"/>
  <c r="AN95" i="6"/>
  <c r="Y63" i="6"/>
  <c r="Y42" i="6"/>
  <c r="AW81" i="6"/>
  <c r="BD24" i="6"/>
  <c r="AC115" i="6"/>
  <c r="AD118" i="6"/>
  <c r="AL103" i="6"/>
  <c r="AQ53" i="6"/>
  <c r="AM93" i="6"/>
  <c r="AL97" i="6"/>
  <c r="Z79" i="6"/>
  <c r="BB63" i="6"/>
  <c r="AJ121" i="6"/>
  <c r="AG62" i="6"/>
  <c r="AU83" i="6"/>
  <c r="AD100" i="6"/>
  <c r="AC52" i="6"/>
  <c r="AT123" i="6"/>
  <c r="AY74" i="6"/>
  <c r="AP49" i="6"/>
  <c r="W71" i="6"/>
  <c r="AG123" i="6"/>
  <c r="BA36" i="6"/>
  <c r="AR67" i="6"/>
  <c r="Z28" i="6"/>
  <c r="U37" i="6"/>
  <c r="Y116" i="6"/>
  <c r="X90" i="6"/>
  <c r="AB73" i="6"/>
  <c r="AG118" i="6"/>
  <c r="AB93" i="6"/>
  <c r="AK27" i="6"/>
  <c r="AI71" i="6"/>
  <c r="AP100" i="6"/>
  <c r="AE46" i="6"/>
  <c r="AB31" i="6"/>
  <c r="AX29" i="6"/>
  <c r="AN66" i="6"/>
  <c r="Z94" i="6"/>
  <c r="AX22" i="6"/>
  <c r="AZ27" i="6"/>
  <c r="AC25" i="6"/>
  <c r="AH115" i="6"/>
  <c r="AP31" i="6"/>
  <c r="AP37" i="6"/>
  <c r="AQ26" i="6"/>
  <c r="AG84" i="6"/>
  <c r="AO72" i="6"/>
  <c r="AS86" i="6"/>
  <c r="AD79" i="6"/>
  <c r="AA58" i="6"/>
  <c r="AE83" i="6"/>
  <c r="U31" i="6"/>
  <c r="AF84" i="6"/>
  <c r="AH54" i="6"/>
  <c r="AC38" i="6"/>
  <c r="BB36" i="6"/>
  <c r="AY38" i="6"/>
  <c r="AS28" i="6"/>
  <c r="AR43" i="6"/>
  <c r="BB76" i="6"/>
  <c r="Z100" i="6"/>
  <c r="AJ34" i="6"/>
  <c r="Y29" i="6"/>
  <c r="AL54" i="6"/>
  <c r="Z99" i="6"/>
  <c r="AD89" i="6"/>
  <c r="AN27" i="6"/>
  <c r="AL41" i="6"/>
  <c r="AD28" i="6"/>
  <c r="BC52" i="6"/>
  <c r="AY50" i="6"/>
  <c r="AY47" i="6"/>
  <c r="AS120" i="6"/>
  <c r="AE37" i="6"/>
  <c r="AP88" i="6"/>
  <c r="BD87" i="6"/>
  <c r="AC26" i="6"/>
  <c r="AE98" i="6"/>
  <c r="AW96" i="6"/>
  <c r="AN43" i="6"/>
  <c r="AM62" i="6"/>
  <c r="AP36" i="6"/>
  <c r="BA46" i="6"/>
  <c r="AV90" i="6"/>
  <c r="BD29" i="6"/>
  <c r="AO70" i="6"/>
  <c r="AR89" i="6"/>
  <c r="AO84" i="6"/>
  <c r="AW57" i="6"/>
  <c r="AE66" i="6"/>
  <c r="Z56" i="6"/>
  <c r="BD110" i="6"/>
  <c r="Y60" i="6"/>
  <c r="X55" i="6"/>
  <c r="AY65" i="6"/>
  <c r="BB34" i="6"/>
  <c r="AW47" i="6"/>
  <c r="BB121" i="6"/>
  <c r="U57" i="6"/>
  <c r="AB39" i="6"/>
  <c r="AC68" i="6"/>
  <c r="AH24" i="6"/>
  <c r="AC96" i="6"/>
  <c r="AA90" i="6"/>
  <c r="AZ126" i="6"/>
  <c r="AB46" i="6"/>
  <c r="Z118" i="6"/>
  <c r="Y80" i="6"/>
  <c r="X31" i="6"/>
  <c r="Y96" i="6"/>
  <c r="V67" i="6"/>
  <c r="AM30" i="6"/>
  <c r="AS29" i="6"/>
  <c r="AZ29" i="6"/>
  <c r="AO40" i="6"/>
  <c r="AJ70" i="6"/>
  <c r="AJ90" i="6"/>
  <c r="AU29" i="6"/>
  <c r="AL40" i="6"/>
  <c r="AJ27" i="6"/>
  <c r="AQ65" i="6"/>
  <c r="AQ98" i="6"/>
  <c r="U119" i="6"/>
  <c r="AO88" i="6"/>
  <c r="AS56" i="6"/>
  <c r="BA74" i="6"/>
  <c r="AQ37" i="6"/>
  <c r="V50" i="6"/>
  <c r="AD112" i="6"/>
  <c r="AA85" i="6"/>
  <c r="AC66" i="6"/>
  <c r="AK42" i="6"/>
  <c r="AE48" i="6"/>
  <c r="AU48" i="6"/>
  <c r="BC104" i="6"/>
  <c r="AJ62" i="6"/>
  <c r="AX120" i="6"/>
  <c r="Y27" i="6"/>
  <c r="AU41" i="6"/>
  <c r="AK65" i="6"/>
  <c r="Y31" i="6"/>
  <c r="AY94" i="6"/>
  <c r="AJ75" i="6"/>
  <c r="AL51" i="6"/>
  <c r="AU91" i="6"/>
  <c r="AK77" i="6"/>
  <c r="AD40" i="6"/>
  <c r="AD57" i="6"/>
  <c r="AO111" i="6"/>
  <c r="AU25" i="6"/>
  <c r="AP125" i="6"/>
  <c r="Y47" i="6"/>
  <c r="AQ69" i="6"/>
  <c r="Y81" i="6"/>
  <c r="AZ63" i="6"/>
  <c r="AX51" i="6"/>
  <c r="AG53" i="6"/>
  <c r="AE45" i="6"/>
  <c r="AK126" i="6"/>
  <c r="AN115" i="6"/>
  <c r="AT26" i="6"/>
  <c r="AO128" i="6"/>
  <c r="AR111" i="6"/>
  <c r="X65" i="6"/>
  <c r="BC39" i="6"/>
  <c r="AG91" i="6"/>
  <c r="AQ27" i="6"/>
  <c r="BD122" i="6"/>
  <c r="AL119" i="6"/>
  <c r="BA57" i="6"/>
  <c r="AT115" i="6"/>
  <c r="AN78" i="6"/>
  <c r="BA92" i="6"/>
  <c r="AQ81" i="6"/>
  <c r="AA38" i="6"/>
  <c r="X52" i="6"/>
  <c r="AY36" i="6"/>
  <c r="AX126" i="6"/>
  <c r="AD73" i="6"/>
  <c r="AZ68" i="6"/>
  <c r="AE51" i="6"/>
  <c r="Z66" i="6"/>
  <c r="Y62" i="6"/>
  <c r="AQ78" i="6"/>
  <c r="AY111" i="6"/>
  <c r="AE60" i="6"/>
  <c r="AN120" i="6"/>
  <c r="AB104" i="6"/>
  <c r="AB97" i="6"/>
  <c r="AG99" i="6"/>
  <c r="U71" i="6"/>
  <c r="AQ109" i="6"/>
  <c r="AC117" i="6"/>
  <c r="AH108" i="6"/>
  <c r="BB33" i="6"/>
  <c r="X74" i="6"/>
  <c r="X37" i="6"/>
  <c r="AJ74" i="6"/>
  <c r="AY33" i="6"/>
  <c r="V32" i="6"/>
  <c r="AB35" i="6"/>
  <c r="AY57" i="6"/>
  <c r="AL111" i="6"/>
  <c r="BB72" i="6"/>
  <c r="AT23" i="6"/>
  <c r="AA122" i="6"/>
  <c r="BC72" i="6"/>
  <c r="V81" i="6"/>
  <c r="AO125" i="6"/>
  <c r="AM90" i="6"/>
  <c r="AL83" i="6"/>
  <c r="AI126" i="6"/>
  <c r="BA76" i="6"/>
  <c r="AE100" i="6"/>
  <c r="AB92" i="6"/>
  <c r="BB113" i="6"/>
  <c r="BC70" i="6"/>
  <c r="AX89" i="6"/>
  <c r="AC33" i="6"/>
  <c r="BB118" i="6"/>
  <c r="AQ86" i="6"/>
  <c r="Z119" i="6"/>
  <c r="AE81" i="6"/>
  <c r="BD81" i="6"/>
  <c r="AF115" i="6"/>
  <c r="AS53" i="6"/>
  <c r="AB75" i="6"/>
  <c r="AG29" i="6"/>
  <c r="AK50" i="6"/>
  <c r="BC51" i="6"/>
  <c r="V114" i="6"/>
  <c r="AW45" i="6"/>
  <c r="Z93" i="6"/>
  <c r="AR42" i="6"/>
  <c r="AQ118" i="6"/>
  <c r="AM58" i="6"/>
  <c r="AT82" i="6"/>
  <c r="AY80" i="6"/>
  <c r="AW91" i="6"/>
  <c r="AZ45" i="6"/>
  <c r="AB57" i="6"/>
  <c r="AR113" i="6"/>
  <c r="AZ39" i="6"/>
  <c r="AI69" i="6"/>
  <c r="AK60" i="6"/>
  <c r="AX124" i="6"/>
  <c r="AI37" i="6"/>
  <c r="AR116" i="6"/>
  <c r="AR35" i="6"/>
  <c r="AU100" i="6"/>
  <c r="AK93" i="6"/>
  <c r="AX79" i="6"/>
  <c r="AG31" i="6"/>
  <c r="AV107" i="6"/>
  <c r="AL108" i="6"/>
  <c r="BD53" i="6"/>
  <c r="AW60" i="6"/>
  <c r="BC25" i="6"/>
  <c r="AJ29" i="6"/>
  <c r="AG43" i="6"/>
  <c r="AH85" i="6"/>
  <c r="AE56" i="6"/>
  <c r="AJ67" i="6"/>
  <c r="AF77" i="6"/>
  <c r="AM51" i="6"/>
  <c r="AQ75" i="6"/>
  <c r="AL94" i="6"/>
  <c r="BA51" i="6"/>
  <c r="AR77" i="6"/>
  <c r="AB51" i="6"/>
  <c r="AU65" i="6"/>
  <c r="AM37" i="6"/>
  <c r="AH127" i="6"/>
  <c r="AU68" i="6"/>
  <c r="AK51" i="6"/>
  <c r="AZ118" i="6"/>
  <c r="U59" i="6"/>
  <c r="AX73" i="6"/>
  <c r="V34" i="6"/>
  <c r="Z98" i="6"/>
  <c r="BC68" i="6"/>
  <c r="AJ93" i="6"/>
  <c r="W102" i="6"/>
  <c r="AR88" i="6"/>
  <c r="AY66" i="6"/>
  <c r="BB24" i="6"/>
  <c r="AA47" i="6"/>
  <c r="AE25" i="6"/>
  <c r="AB87" i="6"/>
  <c r="AX86" i="6"/>
  <c r="BD83" i="6"/>
  <c r="Z128" i="6"/>
  <c r="Y114" i="6"/>
  <c r="AF59" i="6"/>
  <c r="BD71" i="6"/>
  <c r="BC53" i="6"/>
  <c r="U103" i="6"/>
  <c r="AJ35" i="6"/>
  <c r="AF29" i="6"/>
  <c r="AC92" i="6"/>
  <c r="AS55" i="6"/>
  <c r="BB54" i="6"/>
  <c r="AK88" i="6"/>
  <c r="AD80" i="6"/>
  <c r="X103" i="6"/>
  <c r="BD106" i="6"/>
  <c r="AP44" i="6"/>
  <c r="AQ105" i="6"/>
  <c r="AS107" i="6"/>
  <c r="U47" i="6"/>
  <c r="AX66" i="6"/>
  <c r="AC49" i="6"/>
  <c r="AG54" i="6"/>
  <c r="AA41" i="6"/>
  <c r="AX75" i="6"/>
  <c r="AQ25" i="6"/>
  <c r="AD48" i="6"/>
  <c r="Y37" i="6"/>
  <c r="X85" i="6"/>
  <c r="Z39" i="6"/>
  <c r="X45" i="6"/>
  <c r="AA26" i="6"/>
  <c r="BD88" i="6"/>
  <c r="AX111" i="6"/>
  <c r="AV127" i="6"/>
  <c r="AT111" i="6"/>
  <c r="Z58" i="6"/>
  <c r="AU33" i="6"/>
  <c r="AD103" i="6"/>
  <c r="AE115" i="6"/>
  <c r="AX112" i="6"/>
  <c r="AX109" i="6"/>
  <c r="BA79" i="6"/>
  <c r="BA94" i="6"/>
  <c r="AF78" i="6"/>
  <c r="AQ80" i="6"/>
  <c r="AV97" i="6"/>
  <c r="AQ112" i="6"/>
  <c r="AJ21" i="6"/>
  <c r="AJ42" i="6"/>
  <c r="AA49" i="6"/>
  <c r="AX24" i="6"/>
  <c r="BC37" i="6"/>
  <c r="U70" i="6"/>
  <c r="AS42" i="6"/>
  <c r="AK127" i="6"/>
  <c r="AA34" i="6"/>
  <c r="AE59" i="6"/>
  <c r="AH49" i="6"/>
  <c r="AF21" i="6"/>
  <c r="AW28" i="6"/>
  <c r="AO46" i="6"/>
  <c r="AK32" i="6"/>
  <c r="AN80" i="6"/>
  <c r="AZ59" i="6"/>
  <c r="V78" i="6"/>
  <c r="AS32" i="6"/>
  <c r="AB120" i="6"/>
  <c r="AN105" i="6"/>
  <c r="AU27" i="6"/>
  <c r="AZ110" i="6"/>
  <c r="AO96" i="6"/>
  <c r="AO124" i="6"/>
  <c r="AP62" i="6"/>
  <c r="AM24" i="6"/>
  <c r="W96" i="6"/>
  <c r="AZ91" i="6"/>
  <c r="AD123" i="6"/>
  <c r="AS125" i="6"/>
  <c r="AQ49" i="6"/>
  <c r="AD96" i="6"/>
  <c r="X98" i="6"/>
  <c r="X46" i="6"/>
  <c r="AF128" i="6"/>
  <c r="AH94" i="6"/>
  <c r="AH71" i="6"/>
  <c r="AP69" i="6"/>
  <c r="AV76" i="6"/>
  <c r="AM60" i="6"/>
  <c r="AW74" i="6"/>
  <c r="AP50" i="6"/>
  <c r="AT35" i="6"/>
  <c r="BA93" i="6"/>
  <c r="AA45" i="6"/>
  <c r="AU87" i="6"/>
  <c r="AJ55" i="6"/>
  <c r="BA26" i="6"/>
  <c r="AI65" i="6"/>
  <c r="AN57" i="6"/>
  <c r="BD120" i="6"/>
  <c r="U73" i="6"/>
  <c r="AD75" i="6"/>
  <c r="Z102" i="6"/>
  <c r="AJ37" i="6"/>
  <c r="AJ36" i="6"/>
  <c r="AR100" i="6"/>
  <c r="AA80" i="6"/>
  <c r="AU74" i="6"/>
  <c r="BC101" i="6"/>
  <c r="AV67" i="6"/>
  <c r="U116" i="6"/>
  <c r="AB107" i="6"/>
  <c r="AD76" i="6"/>
  <c r="AX34" i="6"/>
  <c r="AF53" i="6"/>
  <c r="AY31" i="6"/>
  <c r="AB34" i="6"/>
  <c r="AR34" i="6"/>
  <c r="AS102" i="6"/>
  <c r="BD64" i="6"/>
  <c r="U94" i="6"/>
  <c r="X32" i="6"/>
  <c r="AR128" i="6"/>
  <c r="AO93" i="6"/>
  <c r="AW33" i="6"/>
  <c r="AL59" i="6"/>
  <c r="AU43" i="6"/>
  <c r="BD105" i="6"/>
  <c r="AC123" i="6"/>
  <c r="U63" i="6"/>
  <c r="AX69" i="6"/>
  <c r="AI73" i="6"/>
  <c r="AG25" i="6"/>
  <c r="Y102" i="6"/>
  <c r="AU86" i="6"/>
  <c r="AU51" i="6"/>
  <c r="AQ82" i="6"/>
  <c r="AO50" i="6"/>
  <c r="AA94" i="6"/>
  <c r="BD32" i="6"/>
  <c r="W42" i="6"/>
  <c r="X77" i="6"/>
  <c r="AT22" i="6"/>
  <c r="AC44" i="6"/>
  <c r="Z112" i="6"/>
  <c r="AT36" i="6"/>
  <c r="BA54" i="6"/>
  <c r="AC39" i="6"/>
  <c r="AT59" i="6"/>
  <c r="AK89" i="6"/>
  <c r="Y67" i="6"/>
  <c r="AB38" i="6"/>
  <c r="Y66" i="6"/>
  <c r="AA105" i="6"/>
  <c r="AE97" i="6"/>
  <c r="AD41" i="6"/>
  <c r="AK97" i="6"/>
  <c r="W55" i="6"/>
  <c r="Z75" i="6"/>
  <c r="AU66" i="6"/>
  <c r="AP48" i="6"/>
  <c r="AD101" i="6"/>
  <c r="BA34" i="6"/>
  <c r="AN117" i="6"/>
  <c r="W77" i="6"/>
  <c r="AU53" i="6"/>
  <c r="AM52" i="6"/>
  <c r="X25" i="6"/>
  <c r="AZ46" i="6"/>
  <c r="AV53" i="6"/>
  <c r="AA25" i="6"/>
  <c r="AW52" i="6"/>
  <c r="AU120" i="6"/>
  <c r="AB36" i="6"/>
  <c r="AP40" i="6"/>
  <c r="AX87" i="6"/>
  <c r="AJ61" i="6"/>
  <c r="AO29" i="6"/>
  <c r="AR37" i="6"/>
  <c r="AG33" i="6"/>
  <c r="X59" i="6"/>
  <c r="AC122" i="6"/>
  <c r="AT53" i="6"/>
  <c r="AR83" i="6"/>
  <c r="BC124" i="6"/>
  <c r="AZ108" i="6"/>
  <c r="V41" i="6"/>
  <c r="AB24" i="6"/>
  <c r="AX38" i="6"/>
  <c r="AL44" i="6"/>
  <c r="Z26" i="6"/>
  <c r="BD123" i="6"/>
  <c r="BD28" i="6"/>
  <c r="AC100" i="6"/>
  <c r="BA24" i="6"/>
  <c r="AR50" i="6"/>
  <c r="AF23" i="6"/>
  <c r="AC71" i="6"/>
  <c r="AO105" i="6"/>
  <c r="BD79" i="6"/>
  <c r="Y126" i="6"/>
  <c r="AX55" i="6"/>
  <c r="AG74" i="6"/>
  <c r="X51" i="6"/>
  <c r="AO42" i="6"/>
  <c r="AZ66" i="6"/>
  <c r="AO32" i="6"/>
  <c r="AQ31" i="6"/>
  <c r="AP32" i="6"/>
  <c r="AQ62" i="6"/>
  <c r="BA124" i="6"/>
  <c r="AQ29" i="6"/>
  <c r="AL73" i="6"/>
  <c r="AZ74" i="6"/>
  <c r="AU107" i="6"/>
  <c r="AL46" i="6"/>
  <c r="BC126" i="6"/>
  <c r="AK61" i="6"/>
  <c r="AW43" i="6"/>
  <c r="AR41" i="6"/>
  <c r="AJ64" i="6"/>
  <c r="AP52" i="6"/>
  <c r="BA22" i="6"/>
  <c r="BA114" i="6"/>
  <c r="AM86" i="6"/>
  <c r="AF103" i="6"/>
  <c r="AY77" i="6"/>
  <c r="AR86" i="6"/>
  <c r="AZ44" i="6"/>
  <c r="BC88" i="6"/>
  <c r="Y71" i="6"/>
  <c r="AR30" i="6"/>
  <c r="Y103" i="6"/>
  <c r="AG94" i="6"/>
  <c r="AI55" i="6"/>
  <c r="X40" i="6"/>
  <c r="AM100" i="6"/>
  <c r="AB109" i="6"/>
  <c r="BD23" i="6"/>
  <c r="V64" i="6"/>
  <c r="AU111" i="6"/>
  <c r="W70" i="6"/>
  <c r="AC50" i="6"/>
  <c r="AE123" i="6"/>
  <c r="AP67" i="6"/>
  <c r="AM48" i="6"/>
  <c r="AZ53" i="6"/>
  <c r="W83" i="6"/>
  <c r="AK128" i="6"/>
  <c r="AX45" i="6"/>
  <c r="AI70" i="6"/>
  <c r="X43" i="6"/>
  <c r="AT62" i="6"/>
  <c r="AA67" i="6"/>
  <c r="AV41" i="6"/>
  <c r="AZ26" i="6"/>
  <c r="U26" i="6"/>
  <c r="BD118" i="6"/>
  <c r="AN31" i="6"/>
  <c r="W87" i="6"/>
  <c r="AD31" i="6"/>
  <c r="V35" i="6"/>
  <c r="AX60" i="6"/>
  <c r="Y46" i="6"/>
  <c r="AU71" i="6"/>
  <c r="BA39" i="6"/>
  <c r="Z46" i="6"/>
  <c r="U62" i="6"/>
  <c r="AT102" i="6"/>
  <c r="AQ124" i="6"/>
  <c r="AO31" i="6"/>
  <c r="AB37" i="6"/>
  <c r="AI106" i="6"/>
  <c r="AA62" i="6"/>
  <c r="AL56" i="6"/>
  <c r="Z48" i="6"/>
  <c r="AT56" i="6"/>
  <c r="AG110" i="6"/>
  <c r="BA58" i="6"/>
  <c r="W114" i="6"/>
  <c r="AC75" i="6"/>
  <c r="AC53" i="6"/>
  <c r="AT72" i="6"/>
  <c r="AS60" i="6"/>
  <c r="AS83" i="6"/>
  <c r="X88" i="6"/>
  <c r="AF83" i="6"/>
  <c r="BC76" i="6"/>
  <c r="AW25" i="6"/>
  <c r="AX95" i="6"/>
  <c r="AL36" i="6"/>
  <c r="AD44" i="6"/>
  <c r="V30" i="6"/>
  <c r="AF52" i="6"/>
  <c r="AA22" i="6"/>
  <c r="V31" i="6"/>
  <c r="AU60" i="6"/>
  <c r="AU102" i="6"/>
  <c r="AD62" i="6"/>
  <c r="AZ76" i="6"/>
  <c r="Z43" i="6"/>
  <c r="AG88" i="6"/>
  <c r="Z38" i="6"/>
  <c r="AS88" i="6"/>
  <c r="W40" i="6"/>
  <c r="AT46" i="6"/>
  <c r="BC35" i="6"/>
  <c r="AV42" i="6"/>
  <c r="AO117" i="6"/>
  <c r="BC38" i="6"/>
  <c r="AY62" i="6"/>
  <c r="AP26" i="6"/>
  <c r="AK110" i="6"/>
  <c r="V75" i="6"/>
  <c r="AB81" i="6"/>
  <c r="V26" i="6"/>
  <c r="AI39" i="6"/>
  <c r="BB39" i="6"/>
  <c r="AM70" i="6"/>
  <c r="Y44" i="6"/>
  <c r="AS117" i="6"/>
  <c r="Z31" i="6"/>
  <c r="Y56" i="6"/>
  <c r="BA73" i="6"/>
  <c r="AO45" i="6"/>
  <c r="AC79" i="6"/>
  <c r="AX113" i="6"/>
  <c r="AZ60" i="6"/>
  <c r="AW37" i="6"/>
  <c r="AG34" i="6"/>
  <c r="AN26" i="6"/>
  <c r="Y23" i="6"/>
  <c r="BB28" i="6"/>
  <c r="AR28" i="6"/>
  <c r="AL53" i="6"/>
  <c r="AS35" i="6"/>
  <c r="AC28" i="6"/>
  <c r="AC51" i="6"/>
  <c r="Z83" i="6"/>
  <c r="BD49" i="6"/>
  <c r="AS37" i="6"/>
  <c r="U69" i="6"/>
  <c r="BC36" i="6"/>
  <c r="AM116" i="6"/>
  <c r="AO83" i="6"/>
  <c r="V56" i="6"/>
  <c r="AU92" i="6"/>
  <c r="AA68" i="6"/>
  <c r="BD55" i="6"/>
  <c r="AH52" i="6"/>
  <c r="AM50" i="6"/>
  <c r="AD95" i="6"/>
  <c r="AH62" i="6"/>
  <c r="AQ121" i="6"/>
  <c r="AL89" i="6"/>
  <c r="AY81" i="6"/>
  <c r="AL66" i="6"/>
  <c r="AP24" i="6"/>
  <c r="AN47" i="6"/>
  <c r="AN54" i="6"/>
  <c r="AE78" i="6"/>
  <c r="AT33" i="6"/>
  <c r="BB68" i="6"/>
  <c r="AY52" i="6"/>
  <c r="AQ39" i="6"/>
  <c r="AI54" i="6"/>
  <c r="Z52" i="6"/>
  <c r="AO104" i="6"/>
  <c r="AU30" i="6"/>
  <c r="AZ28" i="6"/>
  <c r="Z106" i="6"/>
  <c r="AL101" i="6"/>
  <c r="V106" i="6"/>
  <c r="AL120" i="6"/>
  <c r="AP33" i="6"/>
  <c r="AT40" i="6"/>
  <c r="BB30" i="6"/>
  <c r="AV36" i="6"/>
  <c r="BD52" i="6"/>
  <c r="Y87" i="6"/>
  <c r="AY37" i="6"/>
  <c r="AJ82" i="6"/>
  <c r="Z111" i="6"/>
  <c r="AM76" i="6"/>
  <c r="AH105" i="6"/>
  <c r="AW24" i="6"/>
  <c r="AZ38" i="6"/>
  <c r="AE27" i="6"/>
  <c r="AS24" i="6"/>
  <c r="AO33" i="6"/>
  <c r="AX91" i="6"/>
  <c r="AD121" i="6"/>
  <c r="AB29" i="6"/>
  <c r="AW59" i="6"/>
  <c r="AV22" i="6"/>
  <c r="AM122" i="6"/>
  <c r="AG38" i="6"/>
  <c r="AK85" i="6"/>
  <c r="AG72" i="6"/>
  <c r="BB117" i="6"/>
  <c r="AF72" i="6"/>
  <c r="U25" i="6"/>
  <c r="AQ68" i="6"/>
  <c r="AW29" i="6"/>
  <c r="BB81" i="6"/>
  <c r="AY48" i="6"/>
  <c r="AF121" i="6"/>
  <c r="X35" i="6"/>
  <c r="AQ72" i="6"/>
  <c r="AV49" i="6"/>
  <c r="AT79" i="6"/>
  <c r="Z54" i="6"/>
  <c r="AW104" i="6"/>
  <c r="Z27" i="6"/>
  <c r="BD27" i="6"/>
  <c r="BA115" i="6"/>
  <c r="AA92" i="6"/>
  <c r="AF67" i="6"/>
  <c r="AR39" i="6"/>
  <c r="BC26" i="6"/>
  <c r="AV92" i="6"/>
  <c r="AQ85" i="6"/>
  <c r="AO58" i="6"/>
  <c r="AI123" i="6"/>
  <c r="AS34" i="6"/>
  <c r="AZ69" i="6"/>
  <c r="AA102" i="6"/>
  <c r="AJ83" i="6"/>
  <c r="AK64" i="6"/>
  <c r="X84" i="6"/>
  <c r="AQ30" i="6"/>
  <c r="V113" i="6"/>
  <c r="AN56" i="6"/>
  <c r="AL34" i="6"/>
  <c r="BB111" i="6"/>
  <c r="AL23" i="6"/>
  <c r="BC29" i="6"/>
  <c r="AV113" i="6"/>
  <c r="AI63" i="6"/>
  <c r="AC60" i="6"/>
  <c r="U80" i="6"/>
  <c r="AQ24" i="6"/>
  <c r="AL77" i="6"/>
  <c r="AX32" i="6"/>
  <c r="BA33" i="6"/>
  <c r="V109" i="6"/>
  <c r="AC23" i="6"/>
  <c r="BB35" i="6"/>
  <c r="AO41" i="6"/>
  <c r="AX33" i="6"/>
  <c r="W84" i="6"/>
  <c r="AQ63" i="6"/>
  <c r="AB54" i="6"/>
  <c r="U118" i="6"/>
  <c r="AN77" i="6"/>
  <c r="AA59" i="6"/>
  <c r="AY124" i="6"/>
  <c r="U27" i="6"/>
  <c r="X115" i="6"/>
  <c r="Y48" i="6"/>
  <c r="BB41" i="6"/>
  <c r="AF57" i="6"/>
  <c r="X26" i="6"/>
  <c r="BD82" i="6"/>
  <c r="AQ34" i="6"/>
  <c r="AO92" i="6"/>
  <c r="AG116" i="6"/>
  <c r="AY70" i="6"/>
  <c r="AR26" i="6"/>
  <c r="U56" i="6"/>
  <c r="AB25" i="6"/>
  <c r="AG64" i="6"/>
  <c r="AV116" i="6"/>
  <c r="AH84" i="6"/>
  <c r="X68" i="6"/>
  <c r="AX82" i="6"/>
  <c r="V49" i="6"/>
  <c r="AP43" i="6"/>
  <c r="AW48" i="6"/>
  <c r="Z76" i="6"/>
  <c r="AU47" i="6"/>
  <c r="AB64" i="6"/>
  <c r="U81" i="6"/>
  <c r="V92" i="6"/>
  <c r="BC71" i="6"/>
  <c r="AS87" i="6"/>
  <c r="BA41" i="6"/>
  <c r="AE85" i="6"/>
  <c r="AL67" i="6"/>
  <c r="AA123" i="6"/>
  <c r="AL72" i="6"/>
  <c r="AZ112" i="6"/>
  <c r="AP82" i="6"/>
  <c r="AD106" i="6"/>
  <c r="X92" i="6"/>
  <c r="AT68" i="6"/>
  <c r="AC27" i="6"/>
  <c r="AK24" i="6"/>
  <c r="AO51" i="6"/>
  <c r="AI67" i="6"/>
  <c r="AE89" i="6"/>
  <c r="BA91" i="6"/>
  <c r="AM53" i="6"/>
  <c r="Y76" i="6"/>
  <c r="AJ68" i="6"/>
  <c r="AV59" i="6"/>
  <c r="AC76" i="6"/>
  <c r="AL31" i="6"/>
  <c r="AD34" i="6"/>
  <c r="AD54" i="6"/>
  <c r="W38" i="6"/>
  <c r="AR23" i="6"/>
  <c r="AU84" i="6"/>
  <c r="AJ113" i="6"/>
  <c r="AO38" i="6"/>
  <c r="BD25" i="6"/>
  <c r="AL79" i="6"/>
  <c r="AK28" i="6"/>
  <c r="AN55" i="6"/>
  <c r="AK67" i="6"/>
  <c r="AB80" i="6"/>
  <c r="AY117" i="6"/>
  <c r="AY89" i="6"/>
  <c r="AM23" i="6"/>
  <c r="AC84" i="6"/>
  <c r="BC97" i="6"/>
  <c r="AZ123" i="6"/>
  <c r="BA75" i="6"/>
  <c r="AF34" i="6"/>
  <c r="AF36" i="6"/>
  <c r="AB106" i="6"/>
  <c r="Z29" i="6"/>
  <c r="W47" i="6"/>
  <c r="BA111" i="6"/>
  <c r="AZ90" i="6"/>
  <c r="Y50" i="6"/>
  <c r="AI102" i="6"/>
  <c r="Z88" i="6"/>
  <c r="X22" i="6"/>
  <c r="AV82" i="6"/>
  <c r="V96" i="6"/>
  <c r="AY46" i="6"/>
  <c r="AM28" i="6"/>
  <c r="AV80" i="6"/>
  <c r="AU75" i="6"/>
  <c r="AG23" i="6"/>
  <c r="AG22" i="6"/>
  <c r="W45" i="6"/>
  <c r="V86" i="6"/>
  <c r="AU39" i="6"/>
  <c r="AQ113" i="6"/>
  <c r="AP86" i="6"/>
  <c r="AM104" i="6"/>
  <c r="AJ40" i="6"/>
  <c r="Y74" i="6"/>
  <c r="AK21" i="6"/>
  <c r="BB32" i="6"/>
  <c r="AM107" i="6"/>
  <c r="AO121" i="6"/>
  <c r="AQ28" i="6"/>
  <c r="U24" i="6"/>
  <c r="AD68" i="6"/>
  <c r="AG120" i="6"/>
  <c r="AV86" i="6"/>
  <c r="AF87" i="6"/>
  <c r="AG41" i="6"/>
  <c r="AN30" i="6"/>
  <c r="AN50" i="6"/>
  <c r="AY27" i="6"/>
  <c r="W33" i="6"/>
  <c r="BB92" i="6"/>
  <c r="W31" i="6"/>
  <c r="AD33" i="6"/>
  <c r="AG26" i="6"/>
  <c r="BD104" i="6"/>
  <c r="AO44" i="6"/>
  <c r="AJ106" i="6"/>
  <c r="AH91" i="6"/>
  <c r="U122" i="6"/>
  <c r="AT45" i="6"/>
  <c r="AU57" i="6"/>
  <c r="BB56" i="6"/>
  <c r="AD39" i="6"/>
  <c r="AR24" i="6"/>
  <c r="AT110" i="6"/>
  <c r="BC67" i="6"/>
  <c r="BA59" i="6"/>
  <c r="AW127" i="6"/>
  <c r="AM114" i="6"/>
  <c r="Z96" i="6"/>
  <c r="W89" i="6"/>
  <c r="AV51" i="6"/>
  <c r="AQ97" i="6"/>
  <c r="AH103" i="6"/>
  <c r="AY29" i="6"/>
  <c r="AP28" i="6"/>
  <c r="AS36" i="6"/>
  <c r="AH109" i="6"/>
  <c r="AK26" i="6"/>
  <c r="AX27" i="6"/>
  <c r="BD38" i="6"/>
  <c r="BC49" i="6"/>
  <c r="AM83" i="6"/>
  <c r="Z92" i="6"/>
  <c r="AR21" i="6"/>
  <c r="BB124" i="6"/>
  <c r="AV110" i="6"/>
  <c r="AI42" i="6"/>
  <c r="AF76" i="6"/>
  <c r="AZ65" i="6"/>
  <c r="BC74" i="6"/>
  <c r="AQ44" i="6"/>
  <c r="BD62" i="6"/>
  <c r="AQ116" i="6"/>
  <c r="BA27" i="6"/>
  <c r="AI83" i="6"/>
  <c r="BA123" i="6"/>
  <c r="AF24" i="6"/>
  <c r="AA88" i="6"/>
  <c r="AP75" i="6"/>
  <c r="AW27" i="6"/>
  <c r="AZ113" i="6"/>
  <c r="AR92" i="6"/>
  <c r="AA96" i="6"/>
  <c r="Z120" i="6"/>
  <c r="AB30" i="6"/>
  <c r="AA36" i="6"/>
  <c r="AS52" i="6"/>
  <c r="X97" i="6"/>
  <c r="AH67" i="6"/>
  <c r="AV43" i="6"/>
  <c r="Y108" i="6"/>
  <c r="AM72" i="6"/>
  <c r="AT29" i="6"/>
  <c r="AL78" i="6"/>
  <c r="AJ109" i="6"/>
  <c r="BA40" i="6"/>
  <c r="U58" i="6"/>
  <c r="W117" i="6"/>
  <c r="AC105" i="6"/>
  <c r="AR22" i="6"/>
  <c r="AB61" i="6"/>
  <c r="BC60" i="6"/>
  <c r="AX43" i="6"/>
  <c r="AU85" i="6"/>
  <c r="AM69" i="6"/>
  <c r="AY39" i="6"/>
  <c r="AS26" i="6"/>
  <c r="AC85" i="6"/>
  <c r="AM45" i="6"/>
  <c r="AR105" i="6"/>
  <c r="AL22" i="6"/>
  <c r="W44" i="6"/>
  <c r="BA37" i="6"/>
  <c r="AQ22" i="6"/>
  <c r="AX26" i="6"/>
  <c r="AF112" i="6"/>
  <c r="AV37" i="6"/>
  <c r="AL63" i="6"/>
  <c r="AK84" i="6"/>
  <c r="AR82" i="6"/>
  <c r="AW73" i="6"/>
  <c r="AB63" i="6"/>
  <c r="AW86" i="6"/>
  <c r="W69" i="6"/>
  <c r="AC78" i="6"/>
  <c r="AC41" i="6"/>
  <c r="AQ35" i="6"/>
  <c r="AD30" i="6"/>
  <c r="W78" i="6"/>
  <c r="AI38" i="6"/>
  <c r="Z116" i="6"/>
  <c r="AN107" i="6"/>
  <c r="X34" i="6"/>
  <c r="AA79" i="6"/>
  <c r="AQ126" i="6"/>
  <c r="AB66" i="6"/>
  <c r="AS72" i="6"/>
  <c r="V98" i="6"/>
  <c r="U89" i="6"/>
  <c r="BC64" i="6"/>
  <c r="AY100" i="6"/>
  <c r="AN94" i="6"/>
  <c r="AT49" i="6"/>
  <c r="AU105" i="6"/>
  <c r="AY84" i="6"/>
  <c r="AD64" i="6"/>
  <c r="BC32" i="6"/>
  <c r="AG107" i="6"/>
  <c r="AE93" i="6"/>
  <c r="AZ87" i="6"/>
  <c r="AQ43" i="6"/>
  <c r="AH63" i="6"/>
  <c r="AL21" i="6"/>
  <c r="AJ122" i="6"/>
  <c r="AE54" i="6"/>
  <c r="AL93" i="6"/>
  <c r="AX30" i="6"/>
  <c r="AD72" i="6"/>
  <c r="AR45" i="6"/>
  <c r="AN38" i="6"/>
  <c r="AT89" i="6"/>
  <c r="AL58" i="6"/>
  <c r="AF75" i="6"/>
  <c r="AV71" i="6"/>
  <c r="V82" i="6"/>
  <c r="AW63" i="6"/>
  <c r="AV52" i="6"/>
  <c r="Y43" i="6"/>
  <c r="S98" i="6"/>
  <c r="Q58" i="6"/>
  <c r="R93" i="6"/>
  <c r="S77" i="6"/>
  <c r="R118" i="6"/>
  <c r="R24" i="6"/>
  <c r="Q24" i="6"/>
  <c r="S118" i="6"/>
  <c r="Q84" i="6"/>
  <c r="S65" i="6"/>
  <c r="S26" i="6"/>
  <c r="S96" i="6"/>
  <c r="R50" i="6"/>
  <c r="R49" i="6"/>
  <c r="Q26" i="6"/>
  <c r="S50" i="6"/>
  <c r="R91" i="6"/>
  <c r="R80" i="6"/>
  <c r="S114" i="6"/>
  <c r="R78" i="6"/>
  <c r="S80" i="6"/>
  <c r="Q114" i="6"/>
  <c r="Q80" i="6"/>
  <c r="Q91" i="6"/>
  <c r="R65" i="6"/>
  <c r="R30" i="6"/>
  <c r="R114" i="6"/>
  <c r="S34" i="6"/>
  <c r="Q59" i="6"/>
  <c r="R112" i="6"/>
  <c r="S51" i="6"/>
  <c r="Q92" i="6"/>
  <c r="Q78" i="6"/>
  <c r="S94" i="6"/>
  <c r="R48" i="6"/>
  <c r="Q62" i="6"/>
  <c r="S93" i="6"/>
  <c r="R119" i="6"/>
  <c r="Q93" i="6"/>
  <c r="R23" i="6"/>
  <c r="S27" i="6"/>
  <c r="S58" i="6"/>
  <c r="Q65" i="6"/>
  <c r="S54" i="6"/>
  <c r="S29" i="6"/>
  <c r="S107" i="6"/>
  <c r="R33" i="6"/>
  <c r="Q60" i="6"/>
  <c r="Q113" i="6"/>
  <c r="R67" i="6"/>
  <c r="S116" i="6"/>
  <c r="S108" i="6"/>
  <c r="R53" i="6"/>
  <c r="S84" i="6"/>
  <c r="R77" i="6"/>
  <c r="Q120" i="6"/>
  <c r="S119" i="6"/>
  <c r="R54" i="6"/>
  <c r="R51" i="6"/>
  <c r="Q116" i="6"/>
  <c r="R66" i="6"/>
  <c r="Q77" i="6"/>
  <c r="Q107" i="6"/>
  <c r="R59" i="6"/>
  <c r="S62" i="6"/>
  <c r="Q61" i="6"/>
  <c r="Q106" i="6"/>
  <c r="S112" i="6"/>
  <c r="R62" i="6"/>
  <c r="S92" i="6"/>
  <c r="Q94" i="6"/>
  <c r="R106" i="6"/>
  <c r="S124" i="6"/>
  <c r="S33" i="6"/>
  <c r="S83" i="6"/>
  <c r="S32" i="6"/>
  <c r="S40" i="6"/>
  <c r="S88" i="6"/>
  <c r="S109" i="6"/>
  <c r="Q53" i="6"/>
  <c r="S105" i="6"/>
  <c r="S67" i="6"/>
  <c r="R126" i="6"/>
  <c r="R28" i="6"/>
  <c r="S120" i="6"/>
  <c r="R27" i="6"/>
  <c r="Q52" i="6"/>
  <c r="Q105" i="6"/>
  <c r="R111" i="6"/>
  <c r="S72" i="6"/>
  <c r="S126" i="6"/>
  <c r="R120" i="6"/>
  <c r="R52" i="6"/>
  <c r="R25" i="6"/>
  <c r="S111" i="6"/>
  <c r="S55" i="6"/>
  <c r="Q79" i="6"/>
  <c r="S52" i="6"/>
  <c r="Q25" i="6"/>
  <c r="R55" i="6"/>
  <c r="R121" i="6"/>
  <c r="R61" i="6"/>
  <c r="Q56" i="6"/>
  <c r="R69" i="6"/>
  <c r="R79" i="6"/>
  <c r="S71" i="6"/>
  <c r="S25" i="6"/>
  <c r="Q55" i="6"/>
  <c r="R60" i="6"/>
  <c r="S121" i="6"/>
  <c r="S56" i="6"/>
  <c r="S69" i="6"/>
  <c r="S79" i="6"/>
  <c r="R21" i="6"/>
  <c r="R29" i="6"/>
  <c r="Q109" i="6"/>
  <c r="Q108" i="6"/>
  <c r="Q64" i="6"/>
  <c r="R56" i="6"/>
  <c r="Q21" i="6"/>
  <c r="R83" i="6"/>
  <c r="R109" i="6"/>
  <c r="R64" i="6"/>
  <c r="T46" i="6" l="1"/>
  <c r="T92" i="6"/>
  <c r="T70" i="6"/>
  <c r="T73" i="6"/>
  <c r="T78" i="6"/>
  <c r="T64" i="6"/>
  <c r="T24" i="6"/>
  <c r="T97" i="6"/>
  <c r="T116" i="6"/>
  <c r="T27" i="6"/>
  <c r="T28" i="6"/>
  <c r="T107" i="6"/>
  <c r="T32" i="6"/>
  <c r="T21" i="6"/>
  <c r="T30" i="6"/>
  <c r="T31" i="6"/>
  <c r="T113" i="6"/>
  <c r="T106" i="6"/>
  <c r="T83" i="6"/>
  <c r="T119" i="6"/>
  <c r="T22" i="6"/>
  <c r="T33" i="6"/>
  <c r="T75" i="6"/>
  <c r="T108" i="6"/>
  <c r="T54" i="6"/>
  <c r="T84" i="6"/>
  <c r="T94" i="6"/>
  <c r="T61" i="6"/>
  <c r="T65" i="6"/>
  <c r="T68" i="6"/>
  <c r="T51" i="6"/>
  <c r="T59" i="6"/>
  <c r="T124" i="6"/>
  <c r="T122" i="6"/>
  <c r="T60" i="6"/>
  <c r="T91" i="6"/>
  <c r="T23" i="6"/>
  <c r="T95" i="6"/>
  <c r="T105" i="6"/>
  <c r="T58" i="6"/>
  <c r="T66" i="6"/>
  <c r="T89" i="6"/>
  <c r="T82" i="6"/>
  <c r="T26" i="6"/>
  <c r="T81" i="6"/>
  <c r="T67" i="6"/>
  <c r="T53" i="6"/>
  <c r="T49" i="6"/>
  <c r="T57" i="6"/>
  <c r="T29" i="6"/>
  <c r="T43" i="6"/>
  <c r="T48" i="6"/>
  <c r="T41" i="6"/>
  <c r="T36" i="6"/>
  <c r="T86" i="6"/>
  <c r="T114" i="6"/>
  <c r="T35" i="6"/>
  <c r="T55" i="6"/>
  <c r="T112" i="6"/>
  <c r="T120" i="6"/>
  <c r="T125" i="6"/>
  <c r="T39" i="6"/>
  <c r="T42" i="6"/>
  <c r="T110" i="6"/>
  <c r="T104" i="6"/>
  <c r="T93" i="6"/>
  <c r="T101" i="6"/>
  <c r="T88" i="6"/>
  <c r="T56" i="6"/>
  <c r="T63" i="6"/>
  <c r="T126" i="6"/>
  <c r="T71" i="6"/>
  <c r="T25" i="6"/>
  <c r="T69" i="6"/>
  <c r="T62" i="6"/>
  <c r="T50" i="6"/>
  <c r="T128" i="6"/>
  <c r="T90" i="6"/>
  <c r="T115" i="6"/>
  <c r="T52" i="6"/>
  <c r="T45" i="6"/>
  <c r="T99" i="6"/>
  <c r="T38" i="6"/>
  <c r="T118" i="6"/>
  <c r="T47" i="6"/>
  <c r="T85" i="6"/>
  <c r="T102" i="6"/>
  <c r="T121" i="6"/>
  <c r="T77" i="6"/>
  <c r="T103" i="6"/>
  <c r="T96" i="6"/>
  <c r="T34" i="6"/>
  <c r="T111" i="6"/>
  <c r="T87" i="6"/>
  <c r="T100" i="6"/>
  <c r="T40" i="6"/>
  <c r="T127" i="6"/>
  <c r="T80" i="6"/>
  <c r="T37" i="6"/>
  <c r="T117" i="6"/>
  <c r="T79" i="6"/>
  <c r="T76" i="6"/>
  <c r="T74" i="6"/>
  <c r="T72" i="6"/>
  <c r="T123" i="6"/>
  <c r="T109" i="6"/>
  <c r="T98" i="6"/>
  <c r="T4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<sst xmlns="http://schemas.openxmlformats.org/spreadsheetml/2006/main" count="984" uniqueCount="626">
  <si>
    <t>Debug</t>
  </si>
  <si>
    <t>System</t>
  </si>
  <si>
    <t>IRQ</t>
  </si>
  <si>
    <t>IRQ0</t>
  </si>
  <si>
    <t>IRQ3</t>
  </si>
  <si>
    <t>IRQ4</t>
  </si>
  <si>
    <t>IRQ5</t>
  </si>
  <si>
    <t>IRQ6</t>
  </si>
  <si>
    <t>IRQ7</t>
  </si>
  <si>
    <t>IRQ8</t>
  </si>
  <si>
    <t>IRQ9</t>
  </si>
  <si>
    <t>IRQ10</t>
  </si>
  <si>
    <t>IRQ11</t>
  </si>
  <si>
    <t>IRQ13</t>
  </si>
  <si>
    <t>IRQ14</t>
  </si>
  <si>
    <t>IRQ15</t>
  </si>
  <si>
    <t>IRQ-DS</t>
  </si>
  <si>
    <t>IRQ0-DS</t>
  </si>
  <si>
    <t>IRQ4-DS</t>
  </si>
  <si>
    <t>IRQ5-DS</t>
  </si>
  <si>
    <t>IRQ6-DS</t>
  </si>
  <si>
    <t>IRQ7-DS</t>
  </si>
  <si>
    <t>IRQ8-DS</t>
  </si>
  <si>
    <t>IRQ9-DS</t>
  </si>
  <si>
    <t>IRQ10-DS</t>
  </si>
  <si>
    <t>IRQ11-DS</t>
  </si>
  <si>
    <t>IRQ13-DS</t>
  </si>
  <si>
    <t>IRQ14-DS</t>
  </si>
  <si>
    <t>IRQ15-DS</t>
  </si>
  <si>
    <t>USB-FS 3.3V</t>
  </si>
  <si>
    <t>USB-HS 3.3V</t>
  </si>
  <si>
    <t>MIPI-DSI</t>
  </si>
  <si>
    <t>GLCD_888</t>
  </si>
  <si>
    <t>CEU_16bit</t>
  </si>
  <si>
    <t>EtherC RMII</t>
  </si>
  <si>
    <t>UART</t>
  </si>
  <si>
    <t>UART with Flow Control</t>
  </si>
  <si>
    <t>Clock Sync. Mode</t>
  </si>
  <si>
    <t>Clock Sync. Mode with FC</t>
  </si>
  <si>
    <t>RS485</t>
  </si>
  <si>
    <t>Simple LIN</t>
  </si>
  <si>
    <t>Simple SPI</t>
  </si>
  <si>
    <t>Simple I2C</t>
  </si>
  <si>
    <t>I2C</t>
  </si>
  <si>
    <t>I3C</t>
  </si>
  <si>
    <t>SPI</t>
  </si>
  <si>
    <t>CAN-FD</t>
  </si>
  <si>
    <t>SSIE</t>
  </si>
  <si>
    <t>SDHI/MMC</t>
  </si>
  <si>
    <t>GPT Trigger</t>
  </si>
  <si>
    <t>GPT IO</t>
  </si>
  <si>
    <t>GPT Motor</t>
  </si>
  <si>
    <t>AGT</t>
  </si>
  <si>
    <t>ULPT</t>
  </si>
  <si>
    <t>RTC</t>
  </si>
  <si>
    <t>ACMPHS</t>
  </si>
  <si>
    <t>ADC12</t>
  </si>
  <si>
    <t>DAC12</t>
  </si>
  <si>
    <t>GPIO</t>
  </si>
  <si>
    <t>Power</t>
  </si>
  <si>
    <t>VCC</t>
  </si>
  <si>
    <t>P400</t>
  </si>
  <si>
    <t>VIO_D0</t>
  </si>
  <si>
    <t>ET0_WOL</t>
  </si>
  <si>
    <t>TXD1_A</t>
  </si>
  <si>
    <t>MOSI1_A</t>
  </si>
  <si>
    <t>SDA1_A</t>
  </si>
  <si>
    <t>I3C_SCL0</t>
  </si>
  <si>
    <t>AUDIO_CLK</t>
  </si>
  <si>
    <t>SD1CLK_B</t>
  </si>
  <si>
    <t>GTIOC6A</t>
  </si>
  <si>
    <t>AGTIO1</t>
  </si>
  <si>
    <t>ADTRG1</t>
  </si>
  <si>
    <t>P401</t>
  </si>
  <si>
    <t>VIO_D1</t>
  </si>
  <si>
    <t>ET0_MDC</t>
  </si>
  <si>
    <t>RXD1_A</t>
  </si>
  <si>
    <t>MISO1_A</t>
  </si>
  <si>
    <t>SCL1_A</t>
  </si>
  <si>
    <t>I3C_SDA0</t>
  </si>
  <si>
    <t>CTX0</t>
  </si>
  <si>
    <t>SD1CMD_B</t>
  </si>
  <si>
    <t>GTETRGA</t>
  </si>
  <si>
    <t>GTIOC6B</t>
  </si>
  <si>
    <t>P402</t>
  </si>
  <si>
    <t>CACREF</t>
  </si>
  <si>
    <t>ET0_MDIO</t>
  </si>
  <si>
    <t>SCK1_A</t>
  </si>
  <si>
    <t>DE1</t>
  </si>
  <si>
    <t>CRX0</t>
  </si>
  <si>
    <t>SD1DAT0_B</t>
  </si>
  <si>
    <t>RTCIC0</t>
  </si>
  <si>
    <t>P403</t>
  </si>
  <si>
    <t>ET0_LINKSTA</t>
  </si>
  <si>
    <t>CTS_RTS4_A</t>
  </si>
  <si>
    <t>SS4_A</t>
  </si>
  <si>
    <t>SSIBCK0_A</t>
  </si>
  <si>
    <t>SD1DAT1_B</t>
  </si>
  <si>
    <t>GTIOC3A</t>
  </si>
  <si>
    <t>RTCIC1</t>
  </si>
  <si>
    <t>P404</t>
  </si>
  <si>
    <t>VIO_D3</t>
  </si>
  <si>
    <t>ET0_EXOUT</t>
  </si>
  <si>
    <t>CTS1_A</t>
  </si>
  <si>
    <t>SSILRCK0/SSIFS0_A</t>
  </si>
  <si>
    <t>SD1DAT2_B</t>
  </si>
  <si>
    <t>GTIOC3B</t>
  </si>
  <si>
    <t>RTCIC2</t>
  </si>
  <si>
    <t>P405</t>
  </si>
  <si>
    <t>VIO_D2</t>
  </si>
  <si>
    <t>RMII0_TX_EN_B</t>
  </si>
  <si>
    <t>SCK2_B</t>
  </si>
  <si>
    <t>DE2</t>
  </si>
  <si>
    <t>SSITXD0_A</t>
  </si>
  <si>
    <t>SD1DAT3_B</t>
  </si>
  <si>
    <t>GTIOC1A</t>
  </si>
  <si>
    <t>P406</t>
  </si>
  <si>
    <t>EXCIN</t>
  </si>
  <si>
    <t>RMII0_TXD1_B</t>
  </si>
  <si>
    <t>TXD2_B</t>
  </si>
  <si>
    <t>MOSI2_B</t>
  </si>
  <si>
    <t>SDA2_B</t>
  </si>
  <si>
    <t>SSLA3_C</t>
  </si>
  <si>
    <t>SSIRXD0_A</t>
  </si>
  <si>
    <t>SD1CD</t>
  </si>
  <si>
    <t>GTIOC1B</t>
  </si>
  <si>
    <t>P700</t>
  </si>
  <si>
    <t>VIO_D4</t>
  </si>
  <si>
    <t>RMII0_TXD0_B</t>
  </si>
  <si>
    <t>RXD2_B</t>
  </si>
  <si>
    <t>MISO2_B</t>
  </si>
  <si>
    <t>SCL2_B</t>
  </si>
  <si>
    <t>MISOA_C</t>
  </si>
  <si>
    <t>SSIDATA1_B</t>
  </si>
  <si>
    <t>SD1WP</t>
  </si>
  <si>
    <t>GTIOC5A</t>
  </si>
  <si>
    <t>P701</t>
  </si>
  <si>
    <t>VIO_D5</t>
  </si>
  <si>
    <t>REF50CK0_B</t>
  </si>
  <si>
    <t>CTS_RTS2_B</t>
  </si>
  <si>
    <t>SS2_B</t>
  </si>
  <si>
    <t>MOSIA_C</t>
  </si>
  <si>
    <t>SSILRCK1/SSIFS1_B</t>
  </si>
  <si>
    <t>SD1DAT4_B</t>
  </si>
  <si>
    <t>GTIOC5B</t>
  </si>
  <si>
    <t>ULPTO1</t>
  </si>
  <si>
    <t>P702</t>
  </si>
  <si>
    <t>VIO_D6</t>
  </si>
  <si>
    <t>RMII0_RXD0_B</t>
  </si>
  <si>
    <t>CTS2_B</t>
  </si>
  <si>
    <t>RSPCKA_C</t>
  </si>
  <si>
    <t>SSIBCK1_B</t>
  </si>
  <si>
    <t>SD1DAT5_B</t>
  </si>
  <si>
    <t>ULPTO0</t>
  </si>
  <si>
    <t>P703</t>
  </si>
  <si>
    <t>VIO_D7</t>
  </si>
  <si>
    <t>RMII0_RXD1_B</t>
  </si>
  <si>
    <t>SSLA0_C</t>
  </si>
  <si>
    <t>SD1DAT6_B</t>
  </si>
  <si>
    <t>AGTO1</t>
  </si>
  <si>
    <t>VCOUT</t>
  </si>
  <si>
    <t>P704</t>
  </si>
  <si>
    <t>VIO_D8</t>
  </si>
  <si>
    <t>RMII0_RX_ER_B</t>
  </si>
  <si>
    <t>SSLA1_C</t>
  </si>
  <si>
    <t>SD1DAT7_B</t>
  </si>
  <si>
    <t>GTADSM0</t>
  </si>
  <si>
    <t>AGTO0</t>
  </si>
  <si>
    <t>P705</t>
  </si>
  <si>
    <t>VIO_D9</t>
  </si>
  <si>
    <t>RMII0_CRS_DV_B</t>
  </si>
  <si>
    <t>CTS1_B</t>
  </si>
  <si>
    <t>SSLA2_C</t>
  </si>
  <si>
    <t>GTADSM1</t>
  </si>
  <si>
    <t>AGTIO0</t>
  </si>
  <si>
    <t>P706</t>
  </si>
  <si>
    <t>VIO_D10</t>
  </si>
  <si>
    <t>RXD1_B</t>
  </si>
  <si>
    <t>MISO1_B</t>
  </si>
  <si>
    <t>SCL1_B</t>
  </si>
  <si>
    <t>P707</t>
  </si>
  <si>
    <t>LCD_DATA23_B</t>
  </si>
  <si>
    <t>TXD1_B</t>
  </si>
  <si>
    <t>MOSI1_B</t>
  </si>
  <si>
    <t>SDA1_B</t>
  </si>
  <si>
    <t>PB00</t>
  </si>
  <si>
    <t>LCD_DATA22_B</t>
  </si>
  <si>
    <t>SCK1_B</t>
  </si>
  <si>
    <t>PB01</t>
  </si>
  <si>
    <t>USBHS_VBUS</t>
  </si>
  <si>
    <t>LCD_DATA18_B</t>
  </si>
  <si>
    <t>VIO_D11</t>
  </si>
  <si>
    <t>CTS_RTS1_B</t>
  </si>
  <si>
    <t>SS1_B</t>
  </si>
  <si>
    <t>PB02</t>
  </si>
  <si>
    <t>LCD_DATA21_B</t>
  </si>
  <si>
    <t>PB03</t>
  </si>
  <si>
    <t>LCD_DATA20_B</t>
  </si>
  <si>
    <t>PB04</t>
  </si>
  <si>
    <t>LCD_DATA19_B</t>
  </si>
  <si>
    <t>PB05</t>
  </si>
  <si>
    <t>LCD_DATA17_B</t>
  </si>
  <si>
    <t>PB06</t>
  </si>
  <si>
    <t>LCD_DATA16_B</t>
  </si>
  <si>
    <t>GTIOC9A</t>
  </si>
  <si>
    <t>PB07</t>
  </si>
  <si>
    <t>LCD_DATA15_B</t>
  </si>
  <si>
    <t>GTIOC9B</t>
  </si>
  <si>
    <t>GTIOC0A</t>
  </si>
  <si>
    <t>GTIOC0B</t>
  </si>
  <si>
    <t>AGTEE1</t>
  </si>
  <si>
    <t>P715</t>
  </si>
  <si>
    <t>LCD_DATA14_B</t>
  </si>
  <si>
    <t>RXD4_C</t>
  </si>
  <si>
    <t>MISO4_C</t>
  </si>
  <si>
    <t>SCL4_C</t>
  </si>
  <si>
    <t>P714</t>
  </si>
  <si>
    <t>LCD_DATA13_B</t>
  </si>
  <si>
    <t>TXD4_C</t>
  </si>
  <si>
    <t>MOSI4_C</t>
  </si>
  <si>
    <t>SDA4_C</t>
  </si>
  <si>
    <t>P713</t>
  </si>
  <si>
    <t>LCD_DATA12_B</t>
  </si>
  <si>
    <t>GTIOC2A</t>
  </si>
  <si>
    <t>AGTOA0</t>
  </si>
  <si>
    <t>P712</t>
  </si>
  <si>
    <t>LCD_DATA11_B</t>
  </si>
  <si>
    <t>GTIOC2B</t>
  </si>
  <si>
    <t>AGTOB0</t>
  </si>
  <si>
    <t>P711</t>
  </si>
  <si>
    <t>LCD_DATA10_B</t>
  </si>
  <si>
    <t>AGTEE0</t>
  </si>
  <si>
    <t>P710</t>
  </si>
  <si>
    <t>VIO_VD</t>
  </si>
  <si>
    <t>CTS4_B</t>
  </si>
  <si>
    <t>P709</t>
  </si>
  <si>
    <t>VIO_HD</t>
  </si>
  <si>
    <t>CTS_RTS4_B</t>
  </si>
  <si>
    <t>DE4</t>
  </si>
  <si>
    <t>SS4_B</t>
  </si>
  <si>
    <t>P708</t>
  </si>
  <si>
    <t>VIO_CLK</t>
  </si>
  <si>
    <t>SCK4_B</t>
  </si>
  <si>
    <t>SSLB3_B</t>
  </si>
  <si>
    <t>P415</t>
  </si>
  <si>
    <t>VIO_D12</t>
  </si>
  <si>
    <t>TXD4_B</t>
  </si>
  <si>
    <t>MOSI4_B</t>
  </si>
  <si>
    <t>SDA4_B</t>
  </si>
  <si>
    <t>SSLB2_B</t>
  </si>
  <si>
    <t>CTX1</t>
  </si>
  <si>
    <t>SD0CD</t>
  </si>
  <si>
    <t>P414</t>
  </si>
  <si>
    <t>VIO_D13</t>
  </si>
  <si>
    <t>RXD4_B</t>
  </si>
  <si>
    <t>MISO4_B</t>
  </si>
  <si>
    <t>SCL4_B</t>
  </si>
  <si>
    <t>SSLB1_B</t>
  </si>
  <si>
    <t>CRX1</t>
  </si>
  <si>
    <t>SD0WP</t>
  </si>
  <si>
    <t>P413</t>
  </si>
  <si>
    <t>SSLB0_B</t>
  </si>
  <si>
    <t>GTOUUP</t>
  </si>
  <si>
    <t>ULPTEE1</t>
  </si>
  <si>
    <t>P412</t>
  </si>
  <si>
    <t>USB_EXICEN</t>
  </si>
  <si>
    <t>CTS3_A</t>
  </si>
  <si>
    <t>RSPCKB_B</t>
  </si>
  <si>
    <t>GTOULO</t>
  </si>
  <si>
    <t>P411</t>
  </si>
  <si>
    <t>USB_ID</t>
  </si>
  <si>
    <t>USBHS_ID</t>
  </si>
  <si>
    <t>CTS_RTS3_A</t>
  </si>
  <si>
    <t>DE3</t>
  </si>
  <si>
    <t>SS3_A</t>
  </si>
  <si>
    <t>MOSIB_B</t>
  </si>
  <si>
    <t>GTOVUP</t>
  </si>
  <si>
    <t>AGTOA1</t>
  </si>
  <si>
    <t>P410</t>
  </si>
  <si>
    <t>USB_OVRCURB-DS</t>
  </si>
  <si>
    <t>SCK3_A</t>
  </si>
  <si>
    <t>SCL0_A</t>
  </si>
  <si>
    <t>MISOB_B</t>
  </si>
  <si>
    <t>GTOVLO</t>
  </si>
  <si>
    <t>AGTOB1</t>
  </si>
  <si>
    <t>P409</t>
  </si>
  <si>
    <t>USB_OVRCURA-DS</t>
  </si>
  <si>
    <t>TXD3_A</t>
  </si>
  <si>
    <t>MOSI3_A</t>
  </si>
  <si>
    <t>SDA3_A</t>
  </si>
  <si>
    <t>SDA0_A</t>
  </si>
  <si>
    <t>GTOWUP</t>
  </si>
  <si>
    <t>ULPTOA0</t>
  </si>
  <si>
    <t>P408</t>
  </si>
  <si>
    <t>USB_VBUSEN</t>
  </si>
  <si>
    <t>RXD3_A</t>
  </si>
  <si>
    <t>RXD3_A/CTS4_A</t>
  </si>
  <si>
    <t>MISO3_A</t>
  </si>
  <si>
    <t>SCL3_A</t>
  </si>
  <si>
    <t>SCL0_B</t>
  </si>
  <si>
    <t>GTIOC10A</t>
  </si>
  <si>
    <t>GTOWLO</t>
  </si>
  <si>
    <t>ULPTOB0</t>
  </si>
  <si>
    <t>P407</t>
  </si>
  <si>
    <t>USB_VBUS</t>
  </si>
  <si>
    <t>SDA0_B</t>
  </si>
  <si>
    <t>GTIOC10B</t>
  </si>
  <si>
    <t>RTCOUT</t>
  </si>
  <si>
    <t>ADTRG0</t>
  </si>
  <si>
    <t>P815</t>
  </si>
  <si>
    <t>USB_DM</t>
  </si>
  <si>
    <t>GTIOC8A</t>
  </si>
  <si>
    <t>P814</t>
  </si>
  <si>
    <t>USB_DP</t>
  </si>
  <si>
    <t>GTIOC8B</t>
  </si>
  <si>
    <t>P207</t>
  </si>
  <si>
    <t>LCD_DATA9_B</t>
  </si>
  <si>
    <t>P206</t>
  </si>
  <si>
    <t>DSI_TE</t>
  </si>
  <si>
    <t>CLKOUT</t>
  </si>
  <si>
    <t>USB_OVRCURA</t>
  </si>
  <si>
    <t>MIPI_DL0_P</t>
  </si>
  <si>
    <t>USB_OVRCURB</t>
  </si>
  <si>
    <t>MIPI_DL0_N</t>
  </si>
  <si>
    <t>MIPI_CL_P</t>
  </si>
  <si>
    <t>MIPI_CL_N</t>
  </si>
  <si>
    <t>MIPI_DL1_P</t>
  </si>
  <si>
    <t>MIPI_DL1_N</t>
  </si>
  <si>
    <t>VCC18_MIPI</t>
  </si>
  <si>
    <t>VSS_MIPI</t>
  </si>
  <si>
    <t>AVCC_MIPI</t>
  </si>
  <si>
    <t>P902</t>
  </si>
  <si>
    <t>LCD_DATA8_B</t>
  </si>
  <si>
    <t>P903</t>
  </si>
  <si>
    <t>LCD_DATA7_B</t>
  </si>
  <si>
    <t>GTIOC11A</t>
  </si>
  <si>
    <t>P904</t>
  </si>
  <si>
    <t>LCD_DATA6_B</t>
  </si>
  <si>
    <t>GTIOC11B</t>
  </si>
  <si>
    <t>P211</t>
  </si>
  <si>
    <t>TCK/SWCLK</t>
  </si>
  <si>
    <t>SCK9_B</t>
  </si>
  <si>
    <t>DE9</t>
  </si>
  <si>
    <t>P210</t>
  </si>
  <si>
    <t>TMS/SWDIO</t>
  </si>
  <si>
    <t>CTS_RTS9_B</t>
  </si>
  <si>
    <t>SS9_B</t>
  </si>
  <si>
    <t>P209</t>
  </si>
  <si>
    <t>TDO/SWO</t>
  </si>
  <si>
    <t>TXD9_B</t>
  </si>
  <si>
    <t>MOSI9_B</t>
  </si>
  <si>
    <t>SDA9_B</t>
  </si>
  <si>
    <t>P208</t>
  </si>
  <si>
    <t>TDI</t>
  </si>
  <si>
    <t>RXD9_B</t>
  </si>
  <si>
    <t>MISO9_B</t>
  </si>
  <si>
    <t>SCL9_B</t>
  </si>
  <si>
    <t>P913</t>
  </si>
  <si>
    <t>LCD_DATA5_B</t>
  </si>
  <si>
    <t>P201</t>
  </si>
  <si>
    <t>MD</t>
  </si>
  <si>
    <t>P200</t>
  </si>
  <si>
    <t>NMI</t>
  </si>
  <si>
    <t>P912</t>
  </si>
  <si>
    <t>LCD_DATA4_B</t>
  </si>
  <si>
    <t>P911</t>
  </si>
  <si>
    <t>LCD_DATA3_B</t>
  </si>
  <si>
    <t>P910</t>
  </si>
  <si>
    <t>LCD_DATA2_B</t>
  </si>
  <si>
    <t>P915</t>
  </si>
  <si>
    <t>LCD_DATA1_B</t>
  </si>
  <si>
    <t>P914</t>
  </si>
  <si>
    <t>LCD_DATA0_B</t>
  </si>
  <si>
    <t>P907</t>
  </si>
  <si>
    <t>GTIOC13A</t>
  </si>
  <si>
    <t>A15</t>
  </si>
  <si>
    <t>A14</t>
  </si>
  <si>
    <t>A12</t>
  </si>
  <si>
    <t>A11</t>
  </si>
  <si>
    <t>A10</t>
  </si>
  <si>
    <t>A9</t>
  </si>
  <si>
    <t>P112</t>
  </si>
  <si>
    <t>RMII0_CRS_DV_A</t>
  </si>
  <si>
    <t>TXD0_A</t>
  </si>
  <si>
    <t>MOSI0_A</t>
  </si>
  <si>
    <t>SSIBCK0_B</t>
  </si>
  <si>
    <t>ULPTOB0-DS</t>
  </si>
  <si>
    <t>P113</t>
  </si>
  <si>
    <t>CKE</t>
  </si>
  <si>
    <t>RXD0_A</t>
  </si>
  <si>
    <t>MISO0_A</t>
  </si>
  <si>
    <t>SSILRCK0_B/SSIFS0_B</t>
  </si>
  <si>
    <t>ULPTOA0-DS</t>
  </si>
  <si>
    <t>D8</t>
  </si>
  <si>
    <t>D9</t>
  </si>
  <si>
    <t>D10</t>
  </si>
  <si>
    <t>D11</t>
  </si>
  <si>
    <t>D12</t>
  </si>
  <si>
    <t>D13</t>
  </si>
  <si>
    <t>D14</t>
  </si>
  <si>
    <t>D15</t>
  </si>
  <si>
    <t>ULPTEVI0</t>
  </si>
  <si>
    <t>VCC2</t>
  </si>
  <si>
    <t>P600</t>
  </si>
  <si>
    <t>P107</t>
  </si>
  <si>
    <t>P810</t>
  </si>
  <si>
    <t>SD1CLK_A</t>
  </si>
  <si>
    <t>P811</t>
  </si>
  <si>
    <t>SD1CMD_A</t>
  </si>
  <si>
    <t>P812</t>
  </si>
  <si>
    <t>SD1DAT0_A</t>
  </si>
  <si>
    <t>AN122</t>
  </si>
  <si>
    <t>P500</t>
  </si>
  <si>
    <t>SD1DAT1_A</t>
  </si>
  <si>
    <t>AN121</t>
  </si>
  <si>
    <t>P501</t>
  </si>
  <si>
    <t>SD1DAT2_A</t>
  </si>
  <si>
    <t>AN120</t>
  </si>
  <si>
    <t>P502</t>
  </si>
  <si>
    <t>SD1DAT3_A</t>
  </si>
  <si>
    <t>AN019/AN119</t>
  </si>
  <si>
    <t>P503</t>
  </si>
  <si>
    <t>P504</t>
  </si>
  <si>
    <t>P510</t>
  </si>
  <si>
    <t>AVCC0</t>
  </si>
  <si>
    <t>P015</t>
  </si>
  <si>
    <t>AN105</t>
  </si>
  <si>
    <t>DA1</t>
  </si>
  <si>
    <t>P014</t>
  </si>
  <si>
    <t>AN007</t>
  </si>
  <si>
    <t>DA0</t>
  </si>
  <si>
    <t>P011</t>
  </si>
  <si>
    <t>AN106</t>
  </si>
  <si>
    <t>P010</t>
  </si>
  <si>
    <t>IVCMP0</t>
  </si>
  <si>
    <t>AN005</t>
  </si>
  <si>
    <t>P009</t>
  </si>
  <si>
    <t>AN006</t>
  </si>
  <si>
    <t>P007</t>
  </si>
  <si>
    <t>AN004</t>
  </si>
  <si>
    <t>P006</t>
  </si>
  <si>
    <t>IVCMP3</t>
  </si>
  <si>
    <t>AN002</t>
  </si>
  <si>
    <t>P005</t>
  </si>
  <si>
    <t>AN001</t>
  </si>
  <si>
    <t>P004</t>
  </si>
  <si>
    <t>IVCMP2</t>
  </si>
  <si>
    <t>AN000</t>
  </si>
  <si>
    <t>P003</t>
  </si>
  <si>
    <t>IVREF1</t>
  </si>
  <si>
    <t>AN104</t>
  </si>
  <si>
    <t>P002</t>
  </si>
  <si>
    <t>AN102</t>
  </si>
  <si>
    <t>P001</t>
  </si>
  <si>
    <t>IVREF0</t>
  </si>
  <si>
    <t>AN101</t>
  </si>
  <si>
    <t>P000</t>
  </si>
  <si>
    <t>AN100</t>
  </si>
  <si>
    <t>P806</t>
  </si>
  <si>
    <t>LCD_CLK_B</t>
  </si>
  <si>
    <t>VIO_D14</t>
  </si>
  <si>
    <t>AN018/AN118</t>
  </si>
  <si>
    <t>P805</t>
  </si>
  <si>
    <t>LCD_TCON0_B</t>
  </si>
  <si>
    <t>VIO_D15</t>
  </si>
  <si>
    <t>AN017/AN117</t>
  </si>
  <si>
    <t>P807</t>
  </si>
  <si>
    <t>LCD_TCON1_B</t>
  </si>
  <si>
    <t>P513</t>
  </si>
  <si>
    <t>LCD_TCON2_B</t>
  </si>
  <si>
    <t>VIO_FLD</t>
  </si>
  <si>
    <t>AN016/AN116</t>
  </si>
  <si>
    <t>P515</t>
  </si>
  <si>
    <t>LCD_TCON3_B</t>
  </si>
  <si>
    <t>P512</t>
  </si>
  <si>
    <t>P514</t>
  </si>
  <si>
    <t>LCD_EXTCLK_B</t>
  </si>
  <si>
    <t>P511</t>
  </si>
  <si>
    <t>Power Domain</t>
  </si>
  <si>
    <t>R15</t>
  </si>
  <si>
    <t>P15</t>
  </si>
  <si>
    <t>M12</t>
  </si>
  <si>
    <t>N14</t>
  </si>
  <si>
    <t>L10</t>
  </si>
  <si>
    <t>N15</t>
  </si>
  <si>
    <t>M13</t>
  </si>
  <si>
    <t>M14</t>
  </si>
  <si>
    <t>L12</t>
  </si>
  <si>
    <t>L13</t>
  </si>
  <si>
    <t>L11</t>
  </si>
  <si>
    <t>K12</t>
  </si>
  <si>
    <t>K10</t>
  </si>
  <si>
    <t>K13</t>
  </si>
  <si>
    <t>K11</t>
  </si>
  <si>
    <t>L14</t>
  </si>
  <si>
    <t>J10</t>
  </si>
  <si>
    <t>M15</t>
  </si>
  <si>
    <t>H10</t>
  </si>
  <si>
    <t>L15</t>
  </si>
  <si>
    <t>H11</t>
  </si>
  <si>
    <t>J11</t>
  </si>
  <si>
    <t>J12</t>
  </si>
  <si>
    <t>F11</t>
  </si>
  <si>
    <t>G10</t>
  </si>
  <si>
    <t>G11</t>
  </si>
  <si>
    <t>E12</t>
  </si>
  <si>
    <t>F10</t>
  </si>
  <si>
    <t>E14</t>
  </si>
  <si>
    <t>E15</t>
  </si>
  <si>
    <t>E13</t>
  </si>
  <si>
    <t>C14</t>
  </si>
  <si>
    <t>C15</t>
  </si>
  <si>
    <t>E11</t>
  </si>
  <si>
    <t>B15</t>
  </si>
  <si>
    <t>B14</t>
  </si>
  <si>
    <t>C13</t>
  </si>
  <si>
    <t>B12</t>
  </si>
  <si>
    <t>B11</t>
  </si>
  <si>
    <t>B10</t>
  </si>
  <si>
    <t>C11</t>
  </si>
  <si>
    <t>C10</t>
  </si>
  <si>
    <t>B9</t>
  </si>
  <si>
    <t>C9</t>
  </si>
  <si>
    <t>E10</t>
  </si>
  <si>
    <t>F9</t>
  </si>
  <si>
    <t>F8</t>
  </si>
  <si>
    <t>E8</t>
  </si>
  <si>
    <t>E9</t>
  </si>
  <si>
    <t>B8</t>
  </si>
  <si>
    <t>F7</t>
  </si>
  <si>
    <t>E6</t>
  </si>
  <si>
    <t>E7</t>
  </si>
  <si>
    <t>B7</t>
  </si>
  <si>
    <t>C5</t>
  </si>
  <si>
    <t>F6</t>
  </si>
  <si>
    <t>B2</t>
  </si>
  <si>
    <t>C3</t>
  </si>
  <si>
    <t>J1</t>
  </si>
  <si>
    <t>K3</t>
  </si>
  <si>
    <t>K1</t>
  </si>
  <si>
    <t>J2</t>
  </si>
  <si>
    <t>P4</t>
  </si>
  <si>
    <t>M6</t>
  </si>
  <si>
    <t>R4</t>
  </si>
  <si>
    <t>P5</t>
  </si>
  <si>
    <t>R5</t>
  </si>
  <si>
    <t>P6</t>
  </si>
  <si>
    <t>K7</t>
  </si>
  <si>
    <t>N5</t>
  </si>
  <si>
    <t>N7</t>
  </si>
  <si>
    <t>R7</t>
  </si>
  <si>
    <t>P7</t>
  </si>
  <si>
    <t>N8</t>
  </si>
  <si>
    <t>N9</t>
  </si>
  <si>
    <t>AVSS0</t>
  </si>
  <si>
    <t>P9</t>
  </si>
  <si>
    <t>VREFL0</t>
  </si>
  <si>
    <t>R9</t>
  </si>
  <si>
    <t>VREFH0</t>
  </si>
  <si>
    <t>M9</t>
  </si>
  <si>
    <t>M8</t>
  </si>
  <si>
    <t>L9</t>
  </si>
  <si>
    <t>M10</t>
  </si>
  <si>
    <t>R11</t>
  </si>
  <si>
    <t>N10</t>
  </si>
  <si>
    <t>P10</t>
  </si>
  <si>
    <t>P11</t>
  </si>
  <si>
    <t>R12</t>
  </si>
  <si>
    <t>P12</t>
  </si>
  <si>
    <t>R13</t>
  </si>
  <si>
    <t>N11</t>
  </si>
  <si>
    <t>M11</t>
  </si>
  <si>
    <t>N12</t>
  </si>
  <si>
    <t>P13</t>
  </si>
  <si>
    <t>R14</t>
  </si>
  <si>
    <t>N13</t>
  </si>
  <si>
    <t>P14</t>
  </si>
  <si>
    <t>K9</t>
  </si>
  <si>
    <t>1.</t>
  </si>
  <si>
    <t>电源分区：MIPI-DSI需要3V3 和 1V8 两个电源。VCC2分区支持OSPI和SD1两个接口。</t>
  </si>
  <si>
    <t>2.</t>
  </si>
  <si>
    <t>电源限制：使用USB时，VCC限制在3V3；SDRAM只支持3V3</t>
  </si>
  <si>
    <t>50</t>
  </si>
  <si>
    <t>42</t>
  </si>
  <si>
    <t>36</t>
  </si>
  <si>
    <t>No.</t>
  </si>
  <si>
    <t>USBHS_VBUS_Alt</t>
  </si>
  <si>
    <t>Pin Head J901-3</t>
  </si>
  <si>
    <t>Pin Head J901-2</t>
  </si>
  <si>
    <t>USBHS_ID_Alt</t>
  </si>
  <si>
    <t>TXD3 to Jlink UART RX</t>
  </si>
  <si>
    <t>RXD3 to Jlink UART TX</t>
  </si>
  <si>
    <t>MIPI_DSI_TE</t>
  </si>
  <si>
    <t>SWCLK / J902-3</t>
  </si>
  <si>
    <t>SWDIO / J902 -2</t>
  </si>
  <si>
    <t>SCI Boot TXD9</t>
  </si>
  <si>
    <t>SCI Boot RXD9</t>
  </si>
  <si>
    <t>MD(Internal P-up)</t>
  </si>
  <si>
    <t>NMI -&gt; Pull-up</t>
  </si>
  <si>
    <t>USBHS_VBUS_Default</t>
  </si>
  <si>
    <t>USBHS_ID_Default</t>
  </si>
  <si>
    <t>在当前板上（包括扩展板）实装的器件使用的管脚，如需复用需要软件调整，基本不考虑复用</t>
  </si>
  <si>
    <t>在当前板上需要通过硬件跳接实现复用（如以太网），必要时可以复用</t>
  </si>
  <si>
    <t>设计时即定义成通过接插件扩展的管脚，可以较为容易地实现复用</t>
  </si>
  <si>
    <t>管脚</t>
  </si>
  <si>
    <t>调试接口</t>
  </si>
  <si>
    <t>系统功能</t>
  </si>
  <si>
    <t>RESET</t>
  </si>
  <si>
    <t>RGB LCD接口</t>
  </si>
  <si>
    <t>CEU
摄像头</t>
  </si>
  <si>
    <t>带流控的
UART</t>
  </si>
  <si>
    <t>同步串口</t>
  </si>
  <si>
    <t>带流控的同步串口</t>
  </si>
  <si>
    <t>简单LIN</t>
  </si>
  <si>
    <t>简单 SPI</t>
  </si>
  <si>
    <t>简单 I2C</t>
  </si>
  <si>
    <t>SSIE音频接口</t>
  </si>
  <si>
    <t>GPT 触发</t>
  </si>
  <si>
    <t>GPT 电机</t>
  </si>
  <si>
    <t>I/O电源域</t>
  </si>
  <si>
    <t>在当前板上需要通过硬件跳接实现复用（如OSPI），必要时可以复用</t>
  </si>
  <si>
    <t>ULPTEVI1-DS</t>
  </si>
  <si>
    <t>SDRAM DQM1</t>
  </si>
  <si>
    <t>DQM1</t>
  </si>
  <si>
    <t>电源/系统
管脚</t>
  </si>
  <si>
    <t>CPKHMI-RA8D1B
核心板已使用功能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</si>
</sst>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theme="9" tint="-0.499984740745262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49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49" fontId="0" fillId="4" borderId="0" xfId="0" applyNumberFormat="1" applyFill="1"/>
    <xf numFmtId="0" fontId="0" fillId="2" borderId="0" xfId="0" applyFill="1"/>
    <xf numFmtId="0" fontId="3" fillId="0" borderId="0" xfId="0" applyFont="1"/>
    <xf numFmtId="0" fontId="4" fillId="0" borderId="0" xfId="0" applyFont="1"/>
    <xf numFmtId="0" fontId="0" fillId="3" borderId="0" xfId="0" applyFill="1"/>
    <xf numFmtId="0" fontId="6" fillId="0" borderId="0" xfId="0" applyFont="1"/>
    <xf numFmtId="0" fontId="0" fillId="4" borderId="0" xfId="0" applyFill="1"/>
    <xf numFmtId="0" fontId="0" fillId="7" borderId="0" xfId="0" applyFill="1"/>
    <xf numFmtId="0" fontId="2" fillId="6" borderId="0" xfId="0" applyFont="1" applyFill="1"/>
    <xf numFmtId="0" fontId="0" fillId="6" borderId="0" xfId="0" applyFill="1"/>
    <xf numFmtId="49" fontId="6" fillId="0" borderId="0" xfId="0" applyNumberFormat="1" applyFont="1"/>
    <xf numFmtId="0" fontId="6" fillId="2" borderId="0" xfId="0" applyFont="1" applyFill="1"/>
    <xf numFmtId="0" fontId="2" fillId="8" borderId="0" xfId="0" applyFont="1" applyFill="1"/>
    <xf numFmtId="49" fontId="0" fillId="0" borderId="0" xfId="0" applyNumberFormat="1" applyAlignment="1">
      <alignment wrapText="1"/>
    </xf>
    <xf numFmtId="0" fontId="5" fillId="0" borderId="0" xfId="0" applyFont="1"/>
    <xf numFmtId="0" fontId="6" fillId="5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/>
    <xf numFmtId="49" fontId="2" fillId="0" borderId="0" xfId="0" applyNumberFormat="1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6" fillId="0" borderId="1" xfId="0" applyFont="1" applyBorder="1"/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6" fillId="0" borderId="0" xfId="0" applyNumberFormat="1" applyFont="1" applyProtection="1">
      <protection locked="0"/>
    </xf>
    <xf numFmtId="0" fontId="0" fillId="0" borderId="0" xfId="0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6" fillId="0" borderId="0" xfId="0" applyFont="1" applyAlignment="1" applyProtection="1">
      <alignment vertical="center" wrapText="1"/>
      <protection locked="0"/>
    </xf>
    <xf numFmtId="0" fontId="0" fillId="0" borderId="0" xfId="0" applyFill="1"/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6" fillId="0" borderId="0" xfId="0" applyFont="1" applyProtection="1">
      <protection locked="0"/>
    </xf>
  </cellXfs>
  <cellStyles count="1">
    <cellStyle name="Normal" xfId="0" builtinId="0"/>
  </cellStyles>
  <dxfs count="2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9966"/>
        </patternFill>
      </fill>
    </dxf>
    <dxf>
      <font>
        <b val="0"/>
        <i val="0"/>
        <color auto="1"/>
      </font>
      <fill>
        <patternFill patternType="solid">
          <bgColor rgb="FF99FFCC"/>
        </patternFill>
      </fill>
    </dxf>
    <dxf>
      <font>
        <b/>
        <i val="0"/>
        <color theme="0" tint="-4.9989318521683403E-2"/>
      </font>
      <fill>
        <patternFill patternType="solid">
          <bgColor theme="9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9966"/>
        </patternFill>
      </fill>
    </dxf>
    <dxf>
      <font>
        <b val="0"/>
        <i val="0"/>
        <color auto="1"/>
      </font>
      <fill>
        <patternFill patternType="solid">
          <bgColor rgb="FF99FFCC"/>
        </patternFill>
      </fill>
    </dxf>
    <dxf>
      <font>
        <b/>
        <i val="0"/>
        <color theme="0" tint="-4.9989318521683403E-2"/>
      </font>
      <fill>
        <patternFill patternType="solid">
          <bgColor theme="9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99FFCC"/>
      <color rgb="FFFF9966"/>
      <color rgb="FFFF5050"/>
      <color rgb="FFFF66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574A8-3E0D-4034-81CB-AE06318C8CE7}">
  <dimension ref="A1:BE150"/>
  <sheetViews>
    <sheetView tabSelected="1" zoomScale="90" zoomScaleNormal="90" workbookViewId="0">
      <pane xSplit="23" ySplit="20" topLeftCell="X21" activePane="bottomRight" state="frozen"/>
      <selection pane="topRight" activeCell="X1" sqref="X1"/>
      <selection pane="bottomLeft" activeCell="A21" sqref="A21"/>
      <selection pane="bottomRight" activeCell="AD32" sqref="AD32"/>
    </sheetView>
  </sheetViews>
  <sheetFormatPr defaultRowHeight="15" x14ac:dyDescent="0.25"/>
  <cols>
    <col min="1" max="1" width="4.140625" customWidth="1"/>
    <col min="2" max="2" width="4.28515625" customWidth="1"/>
    <col min="3" max="3" width="4.28515625" style="11" customWidth="1"/>
    <col min="4" max="4" width="20.140625" customWidth="1"/>
    <col min="5" max="18" width="4.140625" hidden="1" customWidth="1"/>
    <col min="19" max="19" width="2.42578125" customWidth="1"/>
    <col min="20" max="20" width="6" customWidth="1"/>
    <col min="21" max="21" width="12.140625" customWidth="1"/>
    <col min="24" max="24" width="12.140625" customWidth="1"/>
    <col min="25" max="25" width="10.140625" customWidth="1"/>
    <col min="26" max="27" width="9.140625" customWidth="1"/>
    <col min="28" max="28" width="16.5703125" customWidth="1"/>
    <col min="29" max="29" width="12.42578125" style="8" customWidth="1"/>
    <col min="30" max="30" width="11.28515625" style="9" customWidth="1"/>
    <col min="31" max="31" width="15.7109375" style="11" customWidth="1"/>
    <col min="32" max="32" width="10.140625" style="11" customWidth="1"/>
    <col min="33" max="33" width="15.85546875" customWidth="1"/>
    <col min="34" max="34" width="9.7109375" customWidth="1"/>
    <col min="35" max="35" width="11.42578125" customWidth="1"/>
    <col min="36" max="36" width="10.140625" customWidth="1"/>
    <col min="37" max="37" width="12" customWidth="1"/>
    <col min="38" max="39" width="8.85546875" customWidth="1"/>
    <col min="40" max="40" width="10" customWidth="1"/>
    <col min="41" max="43" width="8.85546875" customWidth="1"/>
    <col min="44" max="44" width="10.28515625" customWidth="1"/>
    <col min="45" max="45" width="8.85546875" customWidth="1"/>
    <col min="46" max="46" width="20" style="11" customWidth="1"/>
    <col min="47" max="47" width="12.140625" customWidth="1"/>
    <col min="48" max="48" width="8.85546875" customWidth="1"/>
    <col min="49" max="49" width="11.5703125" customWidth="1"/>
    <col min="50" max="50" width="10.42578125" customWidth="1"/>
    <col min="51" max="51" width="8.85546875" customWidth="1"/>
    <col min="52" max="52" width="11.42578125" customWidth="1"/>
    <col min="53" max="53" width="8.85546875" style="11" customWidth="1"/>
    <col min="54" max="54" width="8.85546875" customWidth="1"/>
    <col min="55" max="55" width="13.42578125" customWidth="1"/>
    <col min="56" max="56" width="8.85546875" customWidth="1"/>
  </cols>
  <sheetData>
    <row r="1" spans="1:56" ht="15.75" customHeight="1" x14ac:dyDescent="0.25">
      <c r="A1" s="33"/>
      <c r="B1" s="34"/>
      <c r="C1" s="35"/>
      <c r="D1" s="34"/>
      <c r="E1" s="33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6"/>
      <c r="V1" s="36"/>
      <c r="W1" s="36"/>
      <c r="X1" s="36"/>
      <c r="Y1" s="36"/>
      <c r="Z1" s="36"/>
      <c r="AA1" s="36"/>
      <c r="AB1" s="36"/>
      <c r="AC1" s="37"/>
      <c r="AD1" s="38"/>
      <c r="AE1" s="39"/>
      <c r="AF1" s="39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9"/>
      <c r="AU1" s="36"/>
      <c r="AV1" s="36"/>
      <c r="AW1" s="36"/>
      <c r="AX1" s="36"/>
      <c r="AY1" s="36"/>
      <c r="AZ1" s="36"/>
      <c r="BA1" s="39"/>
      <c r="BB1" s="36"/>
      <c r="BC1" s="36"/>
      <c r="BD1" s="36"/>
    </row>
    <row r="2" spans="1:56" hidden="1" x14ac:dyDescent="0.25">
      <c r="C2" s="16"/>
      <c r="D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X2" s="33"/>
      <c r="Y2" s="33"/>
      <c r="Z2" s="33"/>
      <c r="AA2" s="33"/>
      <c r="AB2" s="33"/>
      <c r="AC2" s="41"/>
      <c r="AD2" s="42"/>
      <c r="AE2" s="43"/>
      <c r="AF2" s="4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43"/>
      <c r="AU2" s="33"/>
      <c r="AV2" s="33"/>
      <c r="AW2" s="33"/>
      <c r="AX2" s="33"/>
      <c r="AY2" s="33"/>
      <c r="AZ2" s="33"/>
      <c r="BA2" s="43"/>
      <c r="BB2" s="33"/>
      <c r="BC2" s="33"/>
      <c r="BD2" s="33"/>
    </row>
    <row r="3" spans="1:56" hidden="1" x14ac:dyDescent="0.25">
      <c r="C3" s="16"/>
      <c r="D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X3" s="33"/>
      <c r="Y3" s="33"/>
      <c r="Z3" s="33"/>
      <c r="AA3" s="33"/>
      <c r="AB3" s="33"/>
      <c r="AC3" s="41"/>
      <c r="AD3" s="42"/>
      <c r="AE3" s="43"/>
      <c r="AF3" s="4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43"/>
      <c r="AU3" s="33"/>
      <c r="AV3" s="33"/>
      <c r="AW3" s="33"/>
      <c r="AX3" s="33"/>
      <c r="AY3" s="33"/>
      <c r="AZ3" s="33"/>
      <c r="BA3" s="43"/>
      <c r="BB3" s="33"/>
      <c r="BC3" s="33"/>
      <c r="BD3" s="33"/>
    </row>
    <row r="4" spans="1:56" hidden="1" x14ac:dyDescent="0.25">
      <c r="C4" s="16"/>
      <c r="D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X4" s="33"/>
      <c r="Y4" s="33"/>
      <c r="Z4" s="33"/>
      <c r="AA4" s="33"/>
      <c r="AB4" s="33"/>
      <c r="AC4" s="41"/>
      <c r="AD4" s="42"/>
      <c r="AE4" s="43"/>
      <c r="AF4" s="4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43"/>
      <c r="AU4" s="33"/>
      <c r="AV4" s="33"/>
      <c r="AW4" s="33"/>
      <c r="AX4" s="33"/>
      <c r="AY4" s="33"/>
      <c r="AZ4" s="33"/>
      <c r="BA4" s="43"/>
      <c r="BB4" s="33"/>
      <c r="BC4" s="33"/>
      <c r="BD4" s="33"/>
    </row>
    <row r="5" spans="1:56" hidden="1" x14ac:dyDescent="0.25">
      <c r="C5" s="16"/>
      <c r="D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X5" s="33"/>
      <c r="Y5" s="33"/>
      <c r="Z5" s="33"/>
      <c r="AA5" s="33"/>
      <c r="AB5" s="33"/>
      <c r="AC5" s="41"/>
      <c r="AD5" s="42"/>
      <c r="AE5" s="43"/>
      <c r="AF5" s="4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43"/>
      <c r="AU5" s="33"/>
      <c r="AV5" s="33"/>
      <c r="AW5" s="33"/>
      <c r="AX5" s="33"/>
      <c r="AY5" s="33"/>
      <c r="AZ5" s="33"/>
      <c r="BA5" s="43"/>
      <c r="BB5" s="33"/>
      <c r="BC5" s="33"/>
      <c r="BD5" s="33"/>
    </row>
    <row r="6" spans="1:56" hidden="1" x14ac:dyDescent="0.25">
      <c r="C6" s="16"/>
      <c r="D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X6" s="33"/>
      <c r="Y6" s="33"/>
      <c r="Z6" s="33"/>
      <c r="AA6" s="33"/>
      <c r="AB6" s="33"/>
      <c r="AC6" s="41"/>
      <c r="AD6" s="42"/>
      <c r="AE6" s="43"/>
      <c r="AF6" s="4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43"/>
      <c r="AU6" s="33"/>
      <c r="AV6" s="33"/>
      <c r="AW6" s="33"/>
      <c r="AX6" s="33"/>
      <c r="AY6" s="33"/>
      <c r="AZ6" s="33"/>
      <c r="BA6" s="43"/>
      <c r="BB6" s="33"/>
      <c r="BC6" s="33"/>
      <c r="BD6" s="33"/>
    </row>
    <row r="7" spans="1:56" hidden="1" x14ac:dyDescent="0.25">
      <c r="C7" s="16"/>
      <c r="D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X7" s="33"/>
      <c r="Y7" s="33"/>
      <c r="Z7" s="33"/>
      <c r="AA7" s="33"/>
      <c r="AB7" s="33"/>
      <c r="AC7" s="41"/>
      <c r="AD7" s="42"/>
      <c r="AE7" s="43"/>
      <c r="AF7" s="4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43"/>
      <c r="AU7" s="33"/>
      <c r="AV7" s="33"/>
      <c r="AW7" s="33"/>
      <c r="AX7" s="33"/>
      <c r="AY7" s="33"/>
      <c r="AZ7" s="33"/>
      <c r="BA7" s="43"/>
      <c r="BB7" s="33"/>
      <c r="BC7" s="33"/>
      <c r="BD7" s="33"/>
    </row>
    <row r="8" spans="1:56" hidden="1" x14ac:dyDescent="0.25">
      <c r="C8" s="16"/>
      <c r="D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X8" s="33"/>
      <c r="Y8" s="33"/>
      <c r="Z8" s="33"/>
      <c r="AA8" s="33"/>
      <c r="AB8" s="33"/>
      <c r="AC8" s="41"/>
      <c r="AD8" s="42"/>
      <c r="AE8" s="43"/>
      <c r="AF8" s="4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43"/>
      <c r="AU8" s="33"/>
      <c r="AV8" s="33"/>
      <c r="AW8" s="33"/>
      <c r="AX8" s="33"/>
      <c r="AY8" s="33"/>
      <c r="AZ8" s="33"/>
      <c r="BA8" s="43"/>
      <c r="BB8" s="33"/>
      <c r="BC8" s="33"/>
      <c r="BD8" s="33"/>
    </row>
    <row r="9" spans="1:56" hidden="1" x14ac:dyDescent="0.25">
      <c r="C9" s="16"/>
      <c r="D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X9" s="33"/>
      <c r="Y9" s="33"/>
      <c r="Z9" s="33"/>
      <c r="AA9" s="33"/>
      <c r="AB9" s="33"/>
      <c r="AC9" s="41"/>
      <c r="AD9" s="42"/>
      <c r="AE9" s="43"/>
      <c r="AF9" s="4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43"/>
      <c r="AU9" s="33"/>
      <c r="AV9" s="33"/>
      <c r="AW9" s="33"/>
      <c r="AX9" s="33"/>
      <c r="AY9" s="33"/>
      <c r="AZ9" s="33"/>
      <c r="BA9" s="43"/>
      <c r="BB9" s="33"/>
      <c r="BC9" s="33"/>
      <c r="BD9" s="33"/>
    </row>
    <row r="10" spans="1:56" hidden="1" x14ac:dyDescent="0.25">
      <c r="C10" s="16"/>
      <c r="D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X10" s="33"/>
      <c r="Y10" s="33"/>
      <c r="Z10" s="33"/>
      <c r="AA10" s="33"/>
      <c r="AB10" s="33"/>
      <c r="AC10" s="41"/>
      <c r="AD10" s="42"/>
      <c r="AE10" s="43"/>
      <c r="AF10" s="4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43"/>
      <c r="AU10" s="33"/>
      <c r="AV10" s="33"/>
      <c r="AW10" s="33"/>
      <c r="AX10" s="33"/>
      <c r="AY10" s="33"/>
      <c r="AZ10" s="33"/>
      <c r="BA10" s="43"/>
      <c r="BB10" s="33"/>
      <c r="BC10" s="33"/>
      <c r="BD10" s="33"/>
    </row>
    <row r="11" spans="1:56" hidden="1" x14ac:dyDescent="0.25">
      <c r="C11" s="16"/>
      <c r="D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X11" s="33"/>
      <c r="Y11" s="33"/>
      <c r="Z11" s="33"/>
      <c r="AA11" s="33"/>
      <c r="AB11" s="33"/>
      <c r="AC11" s="41"/>
      <c r="AD11" s="42"/>
      <c r="AE11" s="43"/>
      <c r="AF11" s="4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43"/>
      <c r="AU11" s="33"/>
      <c r="AV11" s="33"/>
      <c r="AW11" s="33"/>
      <c r="AX11" s="33"/>
      <c r="AY11" s="33"/>
      <c r="AZ11" s="33"/>
      <c r="BA11" s="43"/>
      <c r="BB11" s="33"/>
      <c r="BC11" s="33"/>
      <c r="BD11" s="33"/>
    </row>
    <row r="12" spans="1:56" hidden="1" x14ac:dyDescent="0.25">
      <c r="C12" s="16"/>
      <c r="D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X12" s="33"/>
      <c r="Y12" s="33"/>
      <c r="Z12" s="33"/>
      <c r="AA12" s="33"/>
      <c r="AB12" s="33"/>
      <c r="AC12" s="41"/>
      <c r="AD12" s="42"/>
      <c r="AE12" s="43"/>
      <c r="AF12" s="4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43"/>
      <c r="AU12" s="33"/>
      <c r="AV12" s="33"/>
      <c r="AW12" s="33"/>
      <c r="AX12" s="33"/>
      <c r="AY12" s="33"/>
      <c r="AZ12" s="33"/>
      <c r="BA12" s="43"/>
      <c r="BB12" s="33"/>
      <c r="BC12" s="33"/>
      <c r="BD12" s="33"/>
    </row>
    <row r="13" spans="1:56" hidden="1" x14ac:dyDescent="0.25">
      <c r="C13" s="16"/>
      <c r="D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X13" s="33"/>
      <c r="Y13" s="33"/>
      <c r="Z13" s="33"/>
      <c r="AA13" s="33"/>
      <c r="AB13" s="33"/>
      <c r="AC13" s="41"/>
      <c r="AD13" s="42"/>
      <c r="AE13" s="43"/>
      <c r="AF13" s="4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43"/>
      <c r="AU13" s="33"/>
      <c r="AV13" s="33"/>
      <c r="AW13" s="33"/>
      <c r="AX13" s="33"/>
      <c r="AY13" s="33"/>
      <c r="AZ13" s="33"/>
      <c r="BA13" s="43"/>
      <c r="BB13" s="33"/>
      <c r="BC13" s="33"/>
      <c r="BD13" s="33"/>
    </row>
    <row r="14" spans="1:56" hidden="1" x14ac:dyDescent="0.25">
      <c r="C14" s="16"/>
      <c r="D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X14" s="33"/>
      <c r="Y14" s="33"/>
      <c r="Z14" s="33"/>
      <c r="AA14" s="33"/>
      <c r="AB14" s="33"/>
      <c r="AC14" s="41"/>
      <c r="AD14" s="42"/>
      <c r="AE14" s="43"/>
      <c r="AF14" s="4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43"/>
      <c r="AU14" s="33"/>
      <c r="AV14" s="33"/>
      <c r="AW14" s="33"/>
      <c r="AX14" s="33"/>
      <c r="AY14" s="33"/>
      <c r="AZ14" s="33"/>
      <c r="BA14" s="43"/>
      <c r="BB14" s="33"/>
      <c r="BC14" s="33"/>
      <c r="BD14" s="33"/>
    </row>
    <row r="15" spans="1:56" hidden="1" x14ac:dyDescent="0.25">
      <c r="C15" s="16"/>
      <c r="D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X15" s="33"/>
      <c r="Y15" s="33"/>
      <c r="Z15" s="33"/>
      <c r="AA15" s="33"/>
      <c r="AB15" s="33"/>
      <c r="AC15" s="41"/>
      <c r="AD15" s="42"/>
      <c r="AE15" s="43"/>
      <c r="AF15" s="4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43"/>
      <c r="AU15" s="33"/>
      <c r="AV15" s="33"/>
      <c r="AW15" s="33"/>
      <c r="AX15" s="33"/>
      <c r="AY15" s="33"/>
      <c r="AZ15" s="33"/>
      <c r="BA15" s="43"/>
      <c r="BB15" s="33"/>
      <c r="BC15" s="33"/>
      <c r="BD15" s="33"/>
    </row>
    <row r="16" spans="1:56" x14ac:dyDescent="0.25">
      <c r="B16" s="25" t="s">
        <v>582</v>
      </c>
      <c r="C16" s="4" t="s">
        <v>601</v>
      </c>
      <c r="D16" s="3"/>
      <c r="E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X16" s="33"/>
      <c r="Y16" s="33"/>
      <c r="Z16" s="33"/>
      <c r="AA16" s="33"/>
      <c r="AB16" s="33"/>
      <c r="AC16" s="41"/>
      <c r="AD16" s="42"/>
      <c r="AE16" s="43"/>
      <c r="AF16" s="4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43"/>
      <c r="AU16" s="33"/>
      <c r="AV16" s="33"/>
      <c r="AW16" s="33"/>
      <c r="AX16" s="33"/>
      <c r="AY16" s="33"/>
      <c r="AZ16" s="33"/>
      <c r="BA16" s="43"/>
      <c r="BB16" s="33"/>
      <c r="BC16" s="33"/>
      <c r="BD16" s="33"/>
    </row>
    <row r="17" spans="1:56" ht="13.5" customHeight="1" x14ac:dyDescent="0.25">
      <c r="B17" s="25" t="s">
        <v>583</v>
      </c>
      <c r="C17" s="5" t="s">
        <v>620</v>
      </c>
      <c r="D17" s="3"/>
      <c r="E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X17" s="33"/>
      <c r="Y17" s="33"/>
      <c r="Z17" s="33"/>
      <c r="AA17" s="33"/>
      <c r="AB17" s="33"/>
      <c r="AC17" s="41"/>
      <c r="AD17" s="42"/>
      <c r="AE17" s="43"/>
      <c r="AF17" s="4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43"/>
      <c r="AU17" s="33"/>
      <c r="AV17" s="33"/>
      <c r="AW17" s="33"/>
      <c r="AX17" s="33"/>
      <c r="AY17" s="33"/>
      <c r="AZ17" s="33"/>
      <c r="BA17" s="43"/>
      <c r="BB17" s="33"/>
      <c r="BC17" s="33"/>
      <c r="BD17" s="33"/>
    </row>
    <row r="18" spans="1:56" ht="15.75" customHeight="1" x14ac:dyDescent="0.25">
      <c r="B18" s="25" t="s">
        <v>584</v>
      </c>
      <c r="C18" s="6" t="s">
        <v>603</v>
      </c>
      <c r="D18" s="3"/>
      <c r="E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X18" s="33"/>
      <c r="Y18" s="33"/>
      <c r="Z18" s="33"/>
      <c r="AA18" s="33"/>
      <c r="AB18" s="33"/>
      <c r="AC18" s="41"/>
      <c r="AD18" s="42"/>
      <c r="AE18" s="43"/>
      <c r="AF18" s="4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43"/>
      <c r="AU18" s="33"/>
      <c r="AV18" s="33"/>
      <c r="AW18" s="33"/>
      <c r="AX18" s="33"/>
      <c r="AY18" s="33"/>
      <c r="AZ18" s="33"/>
      <c r="BA18" s="43"/>
      <c r="BB18" s="33"/>
      <c r="BC18" s="33"/>
      <c r="BD18" s="33"/>
    </row>
    <row r="19" spans="1:56" x14ac:dyDescent="0.25">
      <c r="B19" s="24">
        <f>COUNTA(B21:B152)</f>
        <v>58</v>
      </c>
      <c r="C19" s="24">
        <f>COUNTA(C21:C152)</f>
        <v>50</v>
      </c>
      <c r="K19" s="3"/>
      <c r="L19" s="3"/>
      <c r="M19" s="3"/>
      <c r="N19" s="3"/>
      <c r="O19" s="3"/>
      <c r="P19" s="3"/>
      <c r="Q19" s="3"/>
      <c r="R19" s="3"/>
      <c r="S19" s="3"/>
      <c r="T19" s="3"/>
      <c r="X19" s="33"/>
      <c r="Y19" s="33"/>
      <c r="Z19" s="33"/>
      <c r="AA19" s="33"/>
      <c r="AB19" s="33"/>
      <c r="AC19" s="41"/>
      <c r="AD19" s="42"/>
      <c r="AE19" s="43"/>
      <c r="AF19" s="4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43"/>
      <c r="AU19" s="33"/>
      <c r="AV19" s="33"/>
      <c r="AW19" s="33"/>
      <c r="AX19" s="33"/>
      <c r="AY19" s="33"/>
      <c r="AZ19" s="33"/>
      <c r="BA19" s="43"/>
      <c r="BB19" s="33"/>
      <c r="BC19" s="33"/>
      <c r="BD19" s="33"/>
    </row>
    <row r="20" spans="1:56" s="30" customFormat="1" ht="31.5" customHeight="1" x14ac:dyDescent="0.25">
      <c r="B20" s="30" t="s">
        <v>537</v>
      </c>
      <c r="C20" s="30" t="s">
        <v>540</v>
      </c>
      <c r="D20" s="30" t="s">
        <v>625</v>
      </c>
      <c r="T20" s="30" t="s">
        <v>604</v>
      </c>
      <c r="U20" s="30" t="s">
        <v>624</v>
      </c>
      <c r="V20" s="30" t="s">
        <v>619</v>
      </c>
      <c r="W20" s="30" t="s">
        <v>58</v>
      </c>
      <c r="X20" s="30" t="s">
        <v>605</v>
      </c>
      <c r="Y20" s="30" t="s">
        <v>606</v>
      </c>
      <c r="Z20" s="30" t="s">
        <v>2</v>
      </c>
      <c r="AA20" s="30" t="s">
        <v>16</v>
      </c>
      <c r="AB20" s="30" t="s">
        <v>29</v>
      </c>
      <c r="AC20" s="31" t="s">
        <v>30</v>
      </c>
      <c r="AD20" s="32" t="s">
        <v>31</v>
      </c>
      <c r="AE20" s="31" t="s">
        <v>608</v>
      </c>
      <c r="AF20" s="31" t="s">
        <v>609</v>
      </c>
      <c r="AG20" s="30" t="s">
        <v>34</v>
      </c>
      <c r="AH20" s="30" t="s">
        <v>35</v>
      </c>
      <c r="AI20" s="30" t="s">
        <v>610</v>
      </c>
      <c r="AJ20" s="30" t="s">
        <v>611</v>
      </c>
      <c r="AK20" s="30" t="s">
        <v>612</v>
      </c>
      <c r="AL20" s="30" t="s">
        <v>39</v>
      </c>
      <c r="AM20" s="30" t="s">
        <v>613</v>
      </c>
      <c r="AN20" s="30" t="s">
        <v>614</v>
      </c>
      <c r="AO20" s="30" t="s">
        <v>615</v>
      </c>
      <c r="AP20" s="30" t="s">
        <v>43</v>
      </c>
      <c r="AQ20" s="30" t="s">
        <v>44</v>
      </c>
      <c r="AR20" s="30" t="s">
        <v>45</v>
      </c>
      <c r="AS20" s="30" t="s">
        <v>46</v>
      </c>
      <c r="AT20" s="31" t="s">
        <v>616</v>
      </c>
      <c r="AU20" s="30" t="s">
        <v>48</v>
      </c>
      <c r="AV20" s="30" t="s">
        <v>617</v>
      </c>
      <c r="AW20" s="30" t="s">
        <v>50</v>
      </c>
      <c r="AX20" s="30" t="s">
        <v>618</v>
      </c>
      <c r="AY20" s="30" t="s">
        <v>52</v>
      </c>
      <c r="AZ20" s="30" t="s">
        <v>53</v>
      </c>
      <c r="BA20" s="31" t="s">
        <v>54</v>
      </c>
      <c r="BB20" s="30" t="s">
        <v>55</v>
      </c>
      <c r="BC20" s="30" t="s">
        <v>56</v>
      </c>
      <c r="BD20" s="30" t="s">
        <v>57</v>
      </c>
    </row>
    <row r="21" spans="1:56" x14ac:dyDescent="0.25">
      <c r="A21" s="11"/>
      <c r="C21">
        <v>16</v>
      </c>
      <c r="J21" s="11"/>
      <c r="M21" s="19"/>
      <c r="N21" s="19"/>
      <c r="O21" s="19"/>
      <c r="T21" t="s">
        <v>479</v>
      </c>
      <c r="V21" t="s">
        <v>60</v>
      </c>
      <c r="W21" t="s">
        <v>61</v>
      </c>
      <c r="Z21" t="s">
        <v>3</v>
      </c>
      <c r="AF21" s="11" t="s">
        <v>62</v>
      </c>
      <c r="AG21" t="s">
        <v>63</v>
      </c>
      <c r="AH21" t="s">
        <v>64</v>
      </c>
      <c r="AI21" t="s">
        <v>64</v>
      </c>
      <c r="AJ21" t="s">
        <v>64</v>
      </c>
      <c r="AK21" t="s">
        <v>64</v>
      </c>
      <c r="AL21" t="s">
        <v>64</v>
      </c>
      <c r="AM21" t="s">
        <v>64</v>
      </c>
      <c r="AN21" t="s">
        <v>65</v>
      </c>
      <c r="AO21" t="s">
        <v>66</v>
      </c>
      <c r="AQ21" t="s">
        <v>67</v>
      </c>
      <c r="AT21" s="11" t="s">
        <v>68</v>
      </c>
      <c r="AU21" t="s">
        <v>69</v>
      </c>
      <c r="AW21" t="s">
        <v>70</v>
      </c>
      <c r="AY21" t="s">
        <v>71</v>
      </c>
      <c r="BC21" t="s">
        <v>72</v>
      </c>
    </row>
    <row r="22" spans="1:56" x14ac:dyDescent="0.25">
      <c r="A22" s="11"/>
      <c r="C22">
        <v>14</v>
      </c>
      <c r="D22" s="7" t="s">
        <v>75</v>
      </c>
      <c r="J22" s="11"/>
      <c r="M22" s="19"/>
      <c r="N22" s="19"/>
      <c r="O22" s="19"/>
      <c r="T22" t="s">
        <v>480</v>
      </c>
      <c r="V22" t="s">
        <v>60</v>
      </c>
      <c r="W22" t="s">
        <v>73</v>
      </c>
      <c r="AA22" t="s">
        <v>19</v>
      </c>
      <c r="AF22" s="11" t="s">
        <v>74</v>
      </c>
      <c r="AG22" s="7" t="s">
        <v>75</v>
      </c>
      <c r="AH22" s="40" t="s">
        <v>76</v>
      </c>
      <c r="AI22" t="s">
        <v>76</v>
      </c>
      <c r="AJ22" t="s">
        <v>76</v>
      </c>
      <c r="AK22" t="s">
        <v>76</v>
      </c>
      <c r="AL22" t="s">
        <v>76</v>
      </c>
      <c r="AM22" t="s">
        <v>76</v>
      </c>
      <c r="AN22" t="s">
        <v>77</v>
      </c>
      <c r="AO22" t="s">
        <v>78</v>
      </c>
      <c r="AQ22" t="s">
        <v>79</v>
      </c>
      <c r="AS22" s="40" t="s">
        <v>80</v>
      </c>
      <c r="AU22" t="s">
        <v>81</v>
      </c>
      <c r="AV22" t="s">
        <v>82</v>
      </c>
      <c r="AW22" t="s">
        <v>83</v>
      </c>
    </row>
    <row r="23" spans="1:56" x14ac:dyDescent="0.25">
      <c r="C23">
        <v>3</v>
      </c>
      <c r="D23" s="7" t="s">
        <v>86</v>
      </c>
      <c r="T23" t="s">
        <v>481</v>
      </c>
      <c r="V23" t="s">
        <v>60</v>
      </c>
      <c r="W23" t="s">
        <v>84</v>
      </c>
      <c r="Y23" t="s">
        <v>85</v>
      </c>
      <c r="AA23" t="s">
        <v>18</v>
      </c>
      <c r="AG23" s="7" t="s">
        <v>86</v>
      </c>
      <c r="AJ23" t="s">
        <v>87</v>
      </c>
      <c r="AK23" t="s">
        <v>87</v>
      </c>
      <c r="AL23" t="s">
        <v>88</v>
      </c>
      <c r="AN23" t="s">
        <v>87</v>
      </c>
      <c r="AS23" s="40" t="s">
        <v>89</v>
      </c>
      <c r="AT23" s="11" t="s">
        <v>68</v>
      </c>
      <c r="AU23" t="s">
        <v>90</v>
      </c>
      <c r="BA23" s="11" t="s">
        <v>91</v>
      </c>
    </row>
    <row r="24" spans="1:56" x14ac:dyDescent="0.25">
      <c r="C24">
        <v>1</v>
      </c>
      <c r="J24" s="11"/>
      <c r="T24" t="s">
        <v>482</v>
      </c>
      <c r="V24" t="s">
        <v>60</v>
      </c>
      <c r="W24" t="s">
        <v>92</v>
      </c>
      <c r="AA24" t="s">
        <v>27</v>
      </c>
      <c r="AG24" t="s">
        <v>93</v>
      </c>
      <c r="AI24" t="s">
        <v>94</v>
      </c>
      <c r="AK24" t="s">
        <v>94</v>
      </c>
      <c r="AL24" t="s">
        <v>88</v>
      </c>
      <c r="AN24" t="s">
        <v>95</v>
      </c>
      <c r="AT24" s="11" t="s">
        <v>96</v>
      </c>
      <c r="AU24" t="s">
        <v>97</v>
      </c>
      <c r="AW24" t="s">
        <v>98</v>
      </c>
      <c r="BA24" s="11" t="s">
        <v>99</v>
      </c>
    </row>
    <row r="25" spans="1:56" x14ac:dyDescent="0.25">
      <c r="B25">
        <v>40</v>
      </c>
      <c r="C25"/>
      <c r="J25" s="11"/>
      <c r="T25" t="s">
        <v>483</v>
      </c>
      <c r="V25" t="s">
        <v>60</v>
      </c>
      <c r="W25" t="s">
        <v>100</v>
      </c>
      <c r="AA25" t="s">
        <v>28</v>
      </c>
      <c r="AF25" s="11" t="s">
        <v>101</v>
      </c>
      <c r="AG25" t="s">
        <v>102</v>
      </c>
      <c r="AI25" t="s">
        <v>103</v>
      </c>
      <c r="AT25" s="11" t="s">
        <v>104</v>
      </c>
      <c r="AU25" t="s">
        <v>105</v>
      </c>
      <c r="AW25" t="s">
        <v>106</v>
      </c>
      <c r="BA25" s="11" t="s">
        <v>107</v>
      </c>
    </row>
    <row r="26" spans="1:56" x14ac:dyDescent="0.25">
      <c r="C26">
        <v>12</v>
      </c>
      <c r="D26" s="7" t="s">
        <v>110</v>
      </c>
      <c r="J26" s="11"/>
      <c r="T26" t="s">
        <v>484</v>
      </c>
      <c r="V26" t="s">
        <v>60</v>
      </c>
      <c r="W26" t="s">
        <v>108</v>
      </c>
      <c r="AF26" s="11" t="s">
        <v>109</v>
      </c>
      <c r="AG26" s="7" t="s">
        <v>110</v>
      </c>
      <c r="AJ26" t="s">
        <v>111</v>
      </c>
      <c r="AK26" t="s">
        <v>111</v>
      </c>
      <c r="AL26" t="s">
        <v>112</v>
      </c>
      <c r="AN26" t="s">
        <v>111</v>
      </c>
      <c r="AT26" s="11" t="s">
        <v>113</v>
      </c>
      <c r="AU26" t="s">
        <v>114</v>
      </c>
      <c r="AW26" t="s">
        <v>115</v>
      </c>
      <c r="AY26" t="s">
        <v>71</v>
      </c>
    </row>
    <row r="27" spans="1:56" x14ac:dyDescent="0.25">
      <c r="C27">
        <v>10</v>
      </c>
      <c r="D27" s="7" t="s">
        <v>118</v>
      </c>
      <c r="T27" t="s">
        <v>485</v>
      </c>
      <c r="V27" t="s">
        <v>60</v>
      </c>
      <c r="W27" t="s">
        <v>116</v>
      </c>
      <c r="Y27" t="s">
        <v>117</v>
      </c>
      <c r="AF27" s="11" t="s">
        <v>101</v>
      </c>
      <c r="AG27" s="7" t="s">
        <v>118</v>
      </c>
      <c r="AH27" s="40" t="s">
        <v>119</v>
      </c>
      <c r="AI27" t="s">
        <v>119</v>
      </c>
      <c r="AJ27" t="s">
        <v>119</v>
      </c>
      <c r="AK27" t="s">
        <v>119</v>
      </c>
      <c r="AL27" t="s">
        <v>119</v>
      </c>
      <c r="AM27" t="s">
        <v>119</v>
      </c>
      <c r="AN27" t="s">
        <v>120</v>
      </c>
      <c r="AO27" t="s">
        <v>121</v>
      </c>
      <c r="AR27" t="s">
        <v>122</v>
      </c>
      <c r="AT27" s="11" t="s">
        <v>123</v>
      </c>
      <c r="AU27" t="s">
        <v>124</v>
      </c>
      <c r="AW27" t="s">
        <v>125</v>
      </c>
    </row>
    <row r="28" spans="1:56" x14ac:dyDescent="0.25">
      <c r="C28">
        <v>8</v>
      </c>
      <c r="D28" s="7" t="s">
        <v>128</v>
      </c>
      <c r="T28" t="s">
        <v>486</v>
      </c>
      <c r="V28" t="s">
        <v>60</v>
      </c>
      <c r="W28" t="s">
        <v>126</v>
      </c>
      <c r="AF28" s="11" t="s">
        <v>127</v>
      </c>
      <c r="AG28" s="7" t="s">
        <v>128</v>
      </c>
      <c r="AH28" s="40" t="s">
        <v>129</v>
      </c>
      <c r="AI28" t="s">
        <v>129</v>
      </c>
      <c r="AJ28" t="s">
        <v>129</v>
      </c>
      <c r="AK28" t="s">
        <v>129</v>
      </c>
      <c r="AL28" t="s">
        <v>129</v>
      </c>
      <c r="AM28" t="s">
        <v>129</v>
      </c>
      <c r="AN28" t="s">
        <v>130</v>
      </c>
      <c r="AO28" t="s">
        <v>131</v>
      </c>
      <c r="AR28" t="s">
        <v>132</v>
      </c>
      <c r="AT28" s="11" t="s">
        <v>133</v>
      </c>
      <c r="AU28" t="s">
        <v>134</v>
      </c>
      <c r="AW28" t="s">
        <v>135</v>
      </c>
    </row>
    <row r="29" spans="1:56" x14ac:dyDescent="0.25">
      <c r="C29">
        <v>6</v>
      </c>
      <c r="D29" s="7" t="s">
        <v>138</v>
      </c>
      <c r="T29" t="s">
        <v>487</v>
      </c>
      <c r="V29" t="s">
        <v>60</v>
      </c>
      <c r="W29" t="s">
        <v>136</v>
      </c>
      <c r="AF29" s="11" t="s">
        <v>137</v>
      </c>
      <c r="AG29" s="7" t="s">
        <v>138</v>
      </c>
      <c r="AI29" t="s">
        <v>139</v>
      </c>
      <c r="AK29" t="s">
        <v>139</v>
      </c>
      <c r="AL29" t="s">
        <v>112</v>
      </c>
      <c r="AN29" t="s">
        <v>140</v>
      </c>
      <c r="AR29" t="s">
        <v>141</v>
      </c>
      <c r="AT29" s="11" t="s">
        <v>142</v>
      </c>
      <c r="AU29" t="s">
        <v>143</v>
      </c>
      <c r="AW29" t="s">
        <v>144</v>
      </c>
      <c r="AZ29" t="s">
        <v>145</v>
      </c>
    </row>
    <row r="30" spans="1:56" x14ac:dyDescent="0.25">
      <c r="C30">
        <v>4</v>
      </c>
      <c r="D30" s="7" t="s">
        <v>148</v>
      </c>
      <c r="T30" t="s">
        <v>488</v>
      </c>
      <c r="V30" t="s">
        <v>60</v>
      </c>
      <c r="W30" t="s">
        <v>146</v>
      </c>
      <c r="AF30" s="11" t="s">
        <v>147</v>
      </c>
      <c r="AG30" s="7" t="s">
        <v>148</v>
      </c>
      <c r="AI30" t="s">
        <v>149</v>
      </c>
      <c r="AR30" t="s">
        <v>150</v>
      </c>
      <c r="AT30" s="11" t="s">
        <v>151</v>
      </c>
      <c r="AU30" t="s">
        <v>152</v>
      </c>
      <c r="AW30" t="s">
        <v>70</v>
      </c>
      <c r="AZ30" t="s">
        <v>153</v>
      </c>
    </row>
    <row r="31" spans="1:56" x14ac:dyDescent="0.25">
      <c r="C31">
        <v>2</v>
      </c>
      <c r="D31" s="7" t="s">
        <v>156</v>
      </c>
      <c r="T31" t="s">
        <v>489</v>
      </c>
      <c r="V31" t="s">
        <v>60</v>
      </c>
      <c r="W31" t="s">
        <v>154</v>
      </c>
      <c r="AF31" s="11" t="s">
        <v>155</v>
      </c>
      <c r="AG31" s="7" t="s">
        <v>156</v>
      </c>
      <c r="AR31" t="s">
        <v>157</v>
      </c>
      <c r="AU31" t="s">
        <v>158</v>
      </c>
      <c r="AW31" t="s">
        <v>83</v>
      </c>
      <c r="AY31" t="s">
        <v>159</v>
      </c>
      <c r="BB31" t="s">
        <v>160</v>
      </c>
    </row>
    <row r="32" spans="1:56" x14ac:dyDescent="0.25">
      <c r="B32">
        <v>50</v>
      </c>
      <c r="C32"/>
      <c r="D32" s="7" t="s">
        <v>163</v>
      </c>
      <c r="T32" t="s">
        <v>490</v>
      </c>
      <c r="V32" t="s">
        <v>60</v>
      </c>
      <c r="W32" t="s">
        <v>161</v>
      </c>
      <c r="AF32" s="11" t="s">
        <v>162</v>
      </c>
      <c r="AG32" s="7" t="s">
        <v>163</v>
      </c>
      <c r="AR32" t="s">
        <v>164</v>
      </c>
      <c r="AS32" t="s">
        <v>80</v>
      </c>
      <c r="AU32" t="s">
        <v>165</v>
      </c>
      <c r="AX32" t="s">
        <v>166</v>
      </c>
      <c r="AY32" t="s">
        <v>167</v>
      </c>
    </row>
    <row r="33" spans="2:51" x14ac:dyDescent="0.25">
      <c r="B33">
        <v>52</v>
      </c>
      <c r="C33"/>
      <c r="D33" s="7" t="s">
        <v>170</v>
      </c>
      <c r="T33" t="s">
        <v>491</v>
      </c>
      <c r="V33" t="s">
        <v>60</v>
      </c>
      <c r="W33" t="s">
        <v>168</v>
      </c>
      <c r="AF33" s="11" t="s">
        <v>169</v>
      </c>
      <c r="AG33" s="7" t="s">
        <v>170</v>
      </c>
      <c r="AI33" t="s">
        <v>171</v>
      </c>
      <c r="AR33" t="s">
        <v>172</v>
      </c>
      <c r="AS33" t="s">
        <v>89</v>
      </c>
      <c r="AX33" t="s">
        <v>173</v>
      </c>
      <c r="AY33" t="s">
        <v>174</v>
      </c>
    </row>
    <row r="34" spans="2:51" x14ac:dyDescent="0.25">
      <c r="B34">
        <v>36</v>
      </c>
      <c r="C34"/>
      <c r="T34" t="s">
        <v>492</v>
      </c>
      <c r="V34" t="s">
        <v>60</v>
      </c>
      <c r="W34" t="s">
        <v>175</v>
      </c>
      <c r="Z34" t="s">
        <v>8</v>
      </c>
      <c r="AF34" s="11" t="s">
        <v>176</v>
      </c>
      <c r="AH34" s="40" t="s">
        <v>177</v>
      </c>
      <c r="AI34" t="s">
        <v>177</v>
      </c>
      <c r="AJ34" t="s">
        <v>177</v>
      </c>
      <c r="AK34" t="s">
        <v>177</v>
      </c>
      <c r="AL34" t="s">
        <v>177</v>
      </c>
      <c r="AM34" t="s">
        <v>177</v>
      </c>
      <c r="AN34" t="s">
        <v>178</v>
      </c>
      <c r="AO34" s="40" t="s">
        <v>179</v>
      </c>
      <c r="AY34" t="s">
        <v>174</v>
      </c>
    </row>
    <row r="35" spans="2:51" x14ac:dyDescent="0.25">
      <c r="B35">
        <v>34</v>
      </c>
      <c r="C35"/>
      <c r="T35" t="s">
        <v>493</v>
      </c>
      <c r="V35" t="s">
        <v>60</v>
      </c>
      <c r="W35" t="s">
        <v>180</v>
      </c>
      <c r="Z35" t="s">
        <v>9</v>
      </c>
      <c r="AE35" s="11" t="s">
        <v>181</v>
      </c>
      <c r="AH35" s="40" t="s">
        <v>182</v>
      </c>
      <c r="AI35" t="s">
        <v>182</v>
      </c>
      <c r="AJ35" t="s">
        <v>182</v>
      </c>
      <c r="AK35" t="s">
        <v>182</v>
      </c>
      <c r="AL35" t="s">
        <v>182</v>
      </c>
      <c r="AM35" t="s">
        <v>182</v>
      </c>
      <c r="AN35" t="s">
        <v>183</v>
      </c>
      <c r="AO35" s="40" t="s">
        <v>184</v>
      </c>
    </row>
    <row r="36" spans="2:51" x14ac:dyDescent="0.25">
      <c r="C36">
        <v>21</v>
      </c>
      <c r="M36" s="1"/>
      <c r="N36" s="1"/>
      <c r="O36" s="1"/>
      <c r="T36" t="s">
        <v>494</v>
      </c>
      <c r="V36" t="s">
        <v>60</v>
      </c>
      <c r="W36" t="s">
        <v>185</v>
      </c>
      <c r="AE36" s="11" t="s">
        <v>186</v>
      </c>
      <c r="AJ36" t="s">
        <v>187</v>
      </c>
      <c r="AK36" t="s">
        <v>187</v>
      </c>
      <c r="AL36" t="s">
        <v>88</v>
      </c>
      <c r="AN36" t="s">
        <v>187</v>
      </c>
    </row>
    <row r="37" spans="2:51" x14ac:dyDescent="0.25">
      <c r="C37">
        <v>29</v>
      </c>
      <c r="T37" t="s">
        <v>495</v>
      </c>
      <c r="V37" t="s">
        <v>60</v>
      </c>
      <c r="W37" t="s">
        <v>194</v>
      </c>
      <c r="AE37" s="11" t="s">
        <v>195</v>
      </c>
    </row>
    <row r="38" spans="2:51" x14ac:dyDescent="0.25">
      <c r="C38">
        <v>27</v>
      </c>
      <c r="T38" t="s">
        <v>496</v>
      </c>
      <c r="V38" t="s">
        <v>60</v>
      </c>
      <c r="W38" t="s">
        <v>196</v>
      </c>
      <c r="AE38" s="11" t="s">
        <v>197</v>
      </c>
    </row>
    <row r="39" spans="2:51" x14ac:dyDescent="0.25">
      <c r="C39">
        <v>25</v>
      </c>
      <c r="T39" t="s">
        <v>497</v>
      </c>
      <c r="V39" t="s">
        <v>60</v>
      </c>
      <c r="W39" t="s">
        <v>198</v>
      </c>
      <c r="AE39" s="11" t="s">
        <v>199</v>
      </c>
    </row>
    <row r="40" spans="2:51" x14ac:dyDescent="0.25">
      <c r="B40">
        <v>38</v>
      </c>
      <c r="C40"/>
      <c r="D40" s="22" t="s">
        <v>599</v>
      </c>
      <c r="G40" s="11"/>
      <c r="T40" t="s">
        <v>498</v>
      </c>
      <c r="V40" t="s">
        <v>60</v>
      </c>
      <c r="W40" t="s">
        <v>188</v>
      </c>
      <c r="AC40" s="22" t="s">
        <v>189</v>
      </c>
      <c r="AE40" s="11" t="s">
        <v>190</v>
      </c>
      <c r="AF40" s="11" t="s">
        <v>191</v>
      </c>
      <c r="AI40" t="s">
        <v>192</v>
      </c>
      <c r="AK40" t="s">
        <v>192</v>
      </c>
      <c r="AL40" t="s">
        <v>88</v>
      </c>
      <c r="AN40" t="s">
        <v>193</v>
      </c>
    </row>
    <row r="41" spans="2:51" x14ac:dyDescent="0.25">
      <c r="B41">
        <v>1</v>
      </c>
      <c r="C41"/>
      <c r="T41" t="s">
        <v>499</v>
      </c>
      <c r="V41" t="s">
        <v>60</v>
      </c>
      <c r="W41" t="s">
        <v>200</v>
      </c>
      <c r="AE41" s="11" t="s">
        <v>201</v>
      </c>
    </row>
    <row r="42" spans="2:51" x14ac:dyDescent="0.25">
      <c r="B42">
        <v>3</v>
      </c>
      <c r="C42"/>
      <c r="T42" t="s">
        <v>500</v>
      </c>
      <c r="V42" t="s">
        <v>60</v>
      </c>
      <c r="W42" t="s">
        <v>202</v>
      </c>
      <c r="AE42" s="11" t="s">
        <v>203</v>
      </c>
      <c r="AW42" t="s">
        <v>204</v>
      </c>
    </row>
    <row r="43" spans="2:51" x14ac:dyDescent="0.25">
      <c r="B43">
        <v>5</v>
      </c>
      <c r="C43"/>
      <c r="T43" t="s">
        <v>501</v>
      </c>
      <c r="V43" t="s">
        <v>60</v>
      </c>
      <c r="W43" t="s">
        <v>205</v>
      </c>
      <c r="AE43" s="11" t="s">
        <v>206</v>
      </c>
      <c r="AW43" t="s">
        <v>207</v>
      </c>
    </row>
    <row r="44" spans="2:51" x14ac:dyDescent="0.25">
      <c r="B44">
        <v>7</v>
      </c>
      <c r="C44"/>
      <c r="T44" t="s">
        <v>502</v>
      </c>
      <c r="V44" t="s">
        <v>60</v>
      </c>
      <c r="W44" t="s">
        <v>211</v>
      </c>
      <c r="AE44" s="11" t="s">
        <v>212</v>
      </c>
      <c r="AH44" t="s">
        <v>213</v>
      </c>
      <c r="AI44" t="s">
        <v>213</v>
      </c>
      <c r="AJ44" t="s">
        <v>213</v>
      </c>
      <c r="AK44" t="s">
        <v>213</v>
      </c>
      <c r="AL44" t="s">
        <v>213</v>
      </c>
      <c r="AM44" t="s">
        <v>213</v>
      </c>
      <c r="AN44" t="s">
        <v>214</v>
      </c>
      <c r="AO44" t="s">
        <v>215</v>
      </c>
    </row>
    <row r="45" spans="2:51" x14ac:dyDescent="0.25">
      <c r="B45">
        <v>9</v>
      </c>
      <c r="C45"/>
      <c r="T45" t="s">
        <v>503</v>
      </c>
      <c r="V45" t="s">
        <v>60</v>
      </c>
      <c r="W45" t="s">
        <v>216</v>
      </c>
      <c r="AE45" s="11" t="s">
        <v>217</v>
      </c>
      <c r="AH45" t="s">
        <v>218</v>
      </c>
      <c r="AI45" t="s">
        <v>218</v>
      </c>
      <c r="AJ45" t="s">
        <v>218</v>
      </c>
      <c r="AK45" t="s">
        <v>218</v>
      </c>
      <c r="AL45" t="s">
        <v>218</v>
      </c>
      <c r="AM45" t="s">
        <v>218</v>
      </c>
      <c r="AN45" t="s">
        <v>219</v>
      </c>
      <c r="AO45" t="s">
        <v>220</v>
      </c>
    </row>
    <row r="46" spans="2:51" x14ac:dyDescent="0.25">
      <c r="B46">
        <v>11</v>
      </c>
      <c r="C46"/>
      <c r="T46" t="s">
        <v>504</v>
      </c>
      <c r="V46" t="s">
        <v>60</v>
      </c>
      <c r="W46" t="s">
        <v>221</v>
      </c>
      <c r="AE46" s="11" t="s">
        <v>222</v>
      </c>
      <c r="AW46" t="s">
        <v>223</v>
      </c>
      <c r="AY46" t="s">
        <v>224</v>
      </c>
    </row>
    <row r="47" spans="2:51" x14ac:dyDescent="0.25">
      <c r="B47">
        <v>13</v>
      </c>
      <c r="C47"/>
      <c r="T47" t="s">
        <v>505</v>
      </c>
      <c r="V47" t="s">
        <v>60</v>
      </c>
      <c r="W47" t="s">
        <v>225</v>
      </c>
      <c r="AE47" s="11" t="s">
        <v>226</v>
      </c>
      <c r="AW47" t="s">
        <v>227</v>
      </c>
      <c r="AY47" t="s">
        <v>228</v>
      </c>
    </row>
    <row r="48" spans="2:51" x14ac:dyDescent="0.25">
      <c r="B48">
        <v>15</v>
      </c>
      <c r="C48"/>
      <c r="T48" t="s">
        <v>506</v>
      </c>
      <c r="V48" t="s">
        <v>60</v>
      </c>
      <c r="W48" t="s">
        <v>229</v>
      </c>
      <c r="AE48" s="11" t="s">
        <v>230</v>
      </c>
      <c r="AY48" t="s">
        <v>231</v>
      </c>
    </row>
    <row r="49" spans="1:55" x14ac:dyDescent="0.25">
      <c r="C49">
        <v>18</v>
      </c>
      <c r="T49" t="s">
        <v>507</v>
      </c>
      <c r="V49" t="s">
        <v>60</v>
      </c>
      <c r="W49" t="s">
        <v>232</v>
      </c>
      <c r="AF49" s="11" t="s">
        <v>233</v>
      </c>
      <c r="AI49" t="s">
        <v>234</v>
      </c>
    </row>
    <row r="50" spans="1:55" x14ac:dyDescent="0.25">
      <c r="C50">
        <v>22</v>
      </c>
      <c r="T50" t="s">
        <v>508</v>
      </c>
      <c r="V50" t="s">
        <v>60</v>
      </c>
      <c r="W50" t="s">
        <v>235</v>
      </c>
      <c r="Z50" t="s">
        <v>11</v>
      </c>
      <c r="AF50" s="11" t="s">
        <v>236</v>
      </c>
      <c r="AI50" t="s">
        <v>237</v>
      </c>
      <c r="AK50" t="s">
        <v>237</v>
      </c>
      <c r="AL50" t="s">
        <v>238</v>
      </c>
      <c r="AN50" t="s">
        <v>239</v>
      </c>
    </row>
    <row r="51" spans="1:55" x14ac:dyDescent="0.25">
      <c r="C51">
        <v>20</v>
      </c>
      <c r="T51" t="s">
        <v>509</v>
      </c>
      <c r="V51" t="s">
        <v>60</v>
      </c>
      <c r="W51" t="s">
        <v>240</v>
      </c>
      <c r="Y51" t="s">
        <v>85</v>
      </c>
      <c r="Z51" t="s">
        <v>12</v>
      </c>
      <c r="AF51" s="11" t="s">
        <v>241</v>
      </c>
      <c r="AJ51" t="s">
        <v>242</v>
      </c>
      <c r="AK51" t="s">
        <v>242</v>
      </c>
      <c r="AL51" t="s">
        <v>238</v>
      </c>
      <c r="AN51" t="s">
        <v>242</v>
      </c>
      <c r="AR51" t="s">
        <v>243</v>
      </c>
      <c r="AT51" s="11" t="s">
        <v>68</v>
      </c>
    </row>
    <row r="52" spans="1:55" x14ac:dyDescent="0.25">
      <c r="C52">
        <v>62</v>
      </c>
      <c r="D52" s="12" t="s">
        <v>587</v>
      </c>
      <c r="T52" t="s">
        <v>510</v>
      </c>
      <c r="V52" t="s">
        <v>60</v>
      </c>
      <c r="W52" t="s">
        <v>244</v>
      </c>
      <c r="Z52" t="s">
        <v>9</v>
      </c>
      <c r="AF52" s="11" t="s">
        <v>245</v>
      </c>
      <c r="AH52" s="12" t="s">
        <v>246</v>
      </c>
      <c r="AI52" t="s">
        <v>246</v>
      </c>
      <c r="AJ52" t="s">
        <v>246</v>
      </c>
      <c r="AK52" t="s">
        <v>246</v>
      </c>
      <c r="AL52" t="s">
        <v>246</v>
      </c>
      <c r="AM52" t="s">
        <v>246</v>
      </c>
      <c r="AN52" t="s">
        <v>247</v>
      </c>
      <c r="AO52" t="s">
        <v>248</v>
      </c>
      <c r="AR52" t="s">
        <v>249</v>
      </c>
      <c r="AS52" t="s">
        <v>250</v>
      </c>
      <c r="AU52" t="s">
        <v>251</v>
      </c>
      <c r="AW52" t="s">
        <v>208</v>
      </c>
      <c r="AX52" t="s">
        <v>166</v>
      </c>
    </row>
    <row r="53" spans="1:55" x14ac:dyDescent="0.25">
      <c r="C53">
        <v>64</v>
      </c>
      <c r="D53" s="12" t="s">
        <v>588</v>
      </c>
      <c r="T53" t="s">
        <v>400</v>
      </c>
      <c r="V53" t="s">
        <v>60</v>
      </c>
      <c r="W53" t="s">
        <v>252</v>
      </c>
      <c r="Z53" t="s">
        <v>10</v>
      </c>
      <c r="AF53" s="11" t="s">
        <v>253</v>
      </c>
      <c r="AH53" s="12" t="s">
        <v>254</v>
      </c>
      <c r="AI53" t="s">
        <v>254</v>
      </c>
      <c r="AJ53" t="s">
        <v>254</v>
      </c>
      <c r="AK53" t="s">
        <v>254</v>
      </c>
      <c r="AL53" t="s">
        <v>254</v>
      </c>
      <c r="AM53" t="s">
        <v>254</v>
      </c>
      <c r="AN53" t="s">
        <v>255</v>
      </c>
      <c r="AO53" t="s">
        <v>256</v>
      </c>
      <c r="AR53" t="s">
        <v>257</v>
      </c>
      <c r="AS53" t="s">
        <v>258</v>
      </c>
      <c r="AU53" t="s">
        <v>259</v>
      </c>
      <c r="AW53" t="s">
        <v>209</v>
      </c>
      <c r="AX53" t="s">
        <v>173</v>
      </c>
    </row>
    <row r="54" spans="1:55" x14ac:dyDescent="0.25">
      <c r="C54">
        <v>36</v>
      </c>
      <c r="T54" t="s">
        <v>375</v>
      </c>
      <c r="V54" t="s">
        <v>60</v>
      </c>
      <c r="W54" t="s">
        <v>260</v>
      </c>
      <c r="AR54" t="s">
        <v>261</v>
      </c>
      <c r="AX54" t="s">
        <v>262</v>
      </c>
      <c r="AZ54" t="s">
        <v>263</v>
      </c>
    </row>
    <row r="55" spans="1:55" x14ac:dyDescent="0.25">
      <c r="C55">
        <v>38</v>
      </c>
      <c r="T55" t="s">
        <v>511</v>
      </c>
      <c r="V55" t="s">
        <v>60</v>
      </c>
      <c r="W55" t="s">
        <v>264</v>
      </c>
      <c r="AB55" t="s">
        <v>265</v>
      </c>
      <c r="AI55" t="s">
        <v>266</v>
      </c>
      <c r="AR55" t="s">
        <v>267</v>
      </c>
      <c r="AX55" t="s">
        <v>268</v>
      </c>
      <c r="AY55" t="s">
        <v>210</v>
      </c>
    </row>
    <row r="56" spans="1:55" x14ac:dyDescent="0.25">
      <c r="A56" s="11"/>
      <c r="C56">
        <v>42</v>
      </c>
      <c r="D56" s="20" t="s">
        <v>589</v>
      </c>
      <c r="G56" s="20"/>
      <c r="J56" s="20"/>
      <c r="T56" t="s">
        <v>398</v>
      </c>
      <c r="V56" t="s">
        <v>60</v>
      </c>
      <c r="W56" t="s">
        <v>269</v>
      </c>
      <c r="Z56" t="s">
        <v>5</v>
      </c>
      <c r="AB56" t="s">
        <v>270</v>
      </c>
      <c r="AC56" s="11" t="s">
        <v>271</v>
      </c>
      <c r="AI56" t="s">
        <v>272</v>
      </c>
      <c r="AK56" t="s">
        <v>272</v>
      </c>
      <c r="AL56" t="s">
        <v>273</v>
      </c>
      <c r="AN56" t="s">
        <v>274</v>
      </c>
      <c r="AR56" t="s">
        <v>275</v>
      </c>
      <c r="AW56" t="s">
        <v>204</v>
      </c>
      <c r="AX56" t="s">
        <v>276</v>
      </c>
      <c r="AY56" t="s">
        <v>277</v>
      </c>
    </row>
    <row r="57" spans="1:55" x14ac:dyDescent="0.25">
      <c r="C57">
        <v>40</v>
      </c>
      <c r="T57" t="s">
        <v>399</v>
      </c>
      <c r="V57" t="s">
        <v>60</v>
      </c>
      <c r="W57" t="s">
        <v>278</v>
      </c>
      <c r="Z57" t="s">
        <v>6</v>
      </c>
      <c r="AB57" t="s">
        <v>279</v>
      </c>
      <c r="AJ57" t="s">
        <v>280</v>
      </c>
      <c r="AK57" t="s">
        <v>280</v>
      </c>
      <c r="AL57" t="s">
        <v>273</v>
      </c>
      <c r="AN57" t="s">
        <v>280</v>
      </c>
      <c r="AP57" t="s">
        <v>281</v>
      </c>
      <c r="AR57" t="s">
        <v>282</v>
      </c>
      <c r="AW57" t="s">
        <v>207</v>
      </c>
      <c r="AX57" t="s">
        <v>283</v>
      </c>
      <c r="AY57" t="s">
        <v>284</v>
      </c>
    </row>
    <row r="58" spans="1:55" x14ac:dyDescent="0.25">
      <c r="B58">
        <v>43</v>
      </c>
      <c r="C58"/>
      <c r="D58" s="7" t="s">
        <v>590</v>
      </c>
      <c r="M58" s="1"/>
      <c r="N58" s="1"/>
      <c r="O58" s="1"/>
      <c r="T58" t="s">
        <v>512</v>
      </c>
      <c r="V58" t="s">
        <v>60</v>
      </c>
      <c r="W58" t="s">
        <v>285</v>
      </c>
      <c r="Z58" t="s">
        <v>7</v>
      </c>
      <c r="AB58" t="s">
        <v>286</v>
      </c>
      <c r="AH58" t="s">
        <v>287</v>
      </c>
      <c r="AI58" t="s">
        <v>287</v>
      </c>
      <c r="AJ58" t="s">
        <v>287</v>
      </c>
      <c r="AK58" t="s">
        <v>287</v>
      </c>
      <c r="AL58" t="s">
        <v>287</v>
      </c>
      <c r="AM58" t="s">
        <v>287</v>
      </c>
      <c r="AN58" t="s">
        <v>288</v>
      </c>
      <c r="AO58" t="s">
        <v>289</v>
      </c>
      <c r="AP58" t="s">
        <v>290</v>
      </c>
      <c r="AX58" t="s">
        <v>291</v>
      </c>
      <c r="AZ58" t="s">
        <v>292</v>
      </c>
    </row>
    <row r="59" spans="1:55" x14ac:dyDescent="0.25">
      <c r="B59">
        <v>45</v>
      </c>
      <c r="C59"/>
      <c r="D59" s="7" t="s">
        <v>591</v>
      </c>
      <c r="M59" s="1"/>
      <c r="N59" s="1"/>
      <c r="O59" s="1"/>
      <c r="T59" t="s">
        <v>513</v>
      </c>
      <c r="V59" t="s">
        <v>60</v>
      </c>
      <c r="W59" t="s">
        <v>293</v>
      </c>
      <c r="Z59" t="s">
        <v>8</v>
      </c>
      <c r="AB59" t="s">
        <v>294</v>
      </c>
      <c r="AH59" t="s">
        <v>295</v>
      </c>
      <c r="AI59" t="s">
        <v>296</v>
      </c>
      <c r="AJ59" t="s">
        <v>295</v>
      </c>
      <c r="AK59" t="s">
        <v>295</v>
      </c>
      <c r="AL59" t="s">
        <v>295</v>
      </c>
      <c r="AM59" t="s">
        <v>295</v>
      </c>
      <c r="AN59" t="s">
        <v>297</v>
      </c>
      <c r="AO59" t="s">
        <v>298</v>
      </c>
      <c r="AP59" t="s">
        <v>299</v>
      </c>
      <c r="AW59" t="s">
        <v>300</v>
      </c>
      <c r="AX59" t="s">
        <v>301</v>
      </c>
      <c r="AZ59" t="s">
        <v>302</v>
      </c>
    </row>
    <row r="60" spans="1:55" x14ac:dyDescent="0.25">
      <c r="C60">
        <v>60</v>
      </c>
      <c r="T60" t="s">
        <v>397</v>
      </c>
      <c r="V60" t="s">
        <v>60</v>
      </c>
      <c r="W60" t="s">
        <v>303</v>
      </c>
      <c r="AB60" t="s">
        <v>304</v>
      </c>
      <c r="AI60" t="s">
        <v>94</v>
      </c>
      <c r="AK60" t="s">
        <v>94</v>
      </c>
      <c r="AL60" t="s">
        <v>238</v>
      </c>
      <c r="AN60" t="s">
        <v>95</v>
      </c>
      <c r="AP60" t="s">
        <v>305</v>
      </c>
      <c r="AW60" t="s">
        <v>306</v>
      </c>
      <c r="AY60" t="s">
        <v>174</v>
      </c>
      <c r="BA60" s="11" t="s">
        <v>307</v>
      </c>
      <c r="BC60" t="s">
        <v>308</v>
      </c>
    </row>
    <row r="61" spans="1:55" x14ac:dyDescent="0.25">
      <c r="B61">
        <v>27</v>
      </c>
      <c r="C61"/>
      <c r="T61" t="s">
        <v>514</v>
      </c>
      <c r="V61" t="s">
        <v>60</v>
      </c>
      <c r="W61" t="s">
        <v>309</v>
      </c>
      <c r="AB61" t="s">
        <v>310</v>
      </c>
      <c r="AS61" t="s">
        <v>80</v>
      </c>
      <c r="AW61" t="s">
        <v>311</v>
      </c>
    </row>
    <row r="62" spans="1:55" x14ac:dyDescent="0.25">
      <c r="B62">
        <v>25</v>
      </c>
      <c r="C62"/>
      <c r="T62" t="s">
        <v>376</v>
      </c>
      <c r="V62" t="s">
        <v>60</v>
      </c>
      <c r="W62" t="s">
        <v>312</v>
      </c>
      <c r="AB62" t="s">
        <v>313</v>
      </c>
      <c r="AS62" t="s">
        <v>89</v>
      </c>
      <c r="AW62" t="s">
        <v>314</v>
      </c>
    </row>
    <row r="63" spans="1:55" x14ac:dyDescent="0.25">
      <c r="B63">
        <v>17</v>
      </c>
      <c r="C63"/>
      <c r="T63" t="s">
        <v>515</v>
      </c>
      <c r="V63" t="s">
        <v>60</v>
      </c>
      <c r="W63" t="s">
        <v>315</v>
      </c>
      <c r="AE63" s="11" t="s">
        <v>316</v>
      </c>
    </row>
    <row r="64" spans="1:55" x14ac:dyDescent="0.25">
      <c r="B64">
        <v>8</v>
      </c>
      <c r="C64"/>
      <c r="D64" s="21" t="s">
        <v>592</v>
      </c>
      <c r="T64" t="s">
        <v>396</v>
      </c>
      <c r="V64" t="s">
        <v>60</v>
      </c>
      <c r="W64" t="s">
        <v>317</v>
      </c>
      <c r="AA64" t="s">
        <v>17</v>
      </c>
      <c r="AB64" t="s">
        <v>294</v>
      </c>
      <c r="AD64" s="23" t="s">
        <v>318</v>
      </c>
    </row>
    <row r="65" spans="2:54" x14ac:dyDescent="0.25">
      <c r="B65">
        <v>14</v>
      </c>
      <c r="C65"/>
      <c r="D65" s="21" t="s">
        <v>321</v>
      </c>
      <c r="T65" t="s">
        <v>516</v>
      </c>
      <c r="AD65" s="23" t="s">
        <v>321</v>
      </c>
    </row>
    <row r="66" spans="2:54" x14ac:dyDescent="0.25">
      <c r="B66">
        <v>16</v>
      </c>
      <c r="C66"/>
      <c r="D66" s="21" t="s">
        <v>323</v>
      </c>
      <c r="T66" t="s">
        <v>377</v>
      </c>
      <c r="AD66" s="23" t="s">
        <v>323</v>
      </c>
    </row>
    <row r="67" spans="2:54" x14ac:dyDescent="0.25">
      <c r="B67">
        <v>18</v>
      </c>
      <c r="C67"/>
      <c r="D67" s="21" t="s">
        <v>324</v>
      </c>
      <c r="T67" t="s">
        <v>517</v>
      </c>
      <c r="AD67" s="23" t="s">
        <v>324</v>
      </c>
    </row>
    <row r="68" spans="2:54" x14ac:dyDescent="0.25">
      <c r="B68">
        <v>20</v>
      </c>
      <c r="C68"/>
      <c r="D68" s="21" t="s">
        <v>325</v>
      </c>
      <c r="T68" t="s">
        <v>378</v>
      </c>
      <c r="AD68" s="23" t="s">
        <v>325</v>
      </c>
    </row>
    <row r="69" spans="2:54" x14ac:dyDescent="0.25">
      <c r="B69">
        <v>10</v>
      </c>
      <c r="C69"/>
      <c r="D69" s="21" t="s">
        <v>326</v>
      </c>
      <c r="T69" t="s">
        <v>518</v>
      </c>
      <c r="AD69" s="23" t="s">
        <v>326</v>
      </c>
    </row>
    <row r="70" spans="2:54" x14ac:dyDescent="0.25">
      <c r="B70">
        <v>12</v>
      </c>
      <c r="C70"/>
      <c r="D70" s="21" t="s">
        <v>327</v>
      </c>
      <c r="T70" t="s">
        <v>379</v>
      </c>
      <c r="AD70" s="23" t="s">
        <v>327</v>
      </c>
    </row>
    <row r="71" spans="2:54" x14ac:dyDescent="0.25">
      <c r="B71">
        <v>6</v>
      </c>
      <c r="C71"/>
      <c r="D71" s="21" t="s">
        <v>328</v>
      </c>
      <c r="T71" t="s">
        <v>519</v>
      </c>
      <c r="AD71" s="23" t="s">
        <v>328</v>
      </c>
    </row>
    <row r="72" spans="2:54" x14ac:dyDescent="0.25">
      <c r="B72">
        <v>4</v>
      </c>
      <c r="C72"/>
      <c r="D72" s="21" t="s">
        <v>329</v>
      </c>
      <c r="T72" t="s">
        <v>520</v>
      </c>
      <c r="AD72" s="23" t="s">
        <v>329</v>
      </c>
    </row>
    <row r="73" spans="2:54" x14ac:dyDescent="0.25">
      <c r="B73">
        <v>2</v>
      </c>
      <c r="C73"/>
      <c r="D73" s="21" t="s">
        <v>330</v>
      </c>
      <c r="T73" t="s">
        <v>521</v>
      </c>
      <c r="AD73" s="23" t="s">
        <v>330</v>
      </c>
    </row>
    <row r="74" spans="2:54" x14ac:dyDescent="0.25">
      <c r="B74">
        <v>19</v>
      </c>
      <c r="C74"/>
      <c r="T74" t="s">
        <v>395</v>
      </c>
      <c r="V74" t="s">
        <v>60</v>
      </c>
      <c r="W74" t="s">
        <v>331</v>
      </c>
      <c r="AE74" s="11" t="s">
        <v>332</v>
      </c>
    </row>
    <row r="75" spans="2:54" x14ac:dyDescent="0.25">
      <c r="B75">
        <v>24</v>
      </c>
      <c r="C75"/>
      <c r="T75" t="s">
        <v>522</v>
      </c>
      <c r="V75" t="s">
        <v>60</v>
      </c>
      <c r="W75" t="s">
        <v>333</v>
      </c>
      <c r="AE75" s="11" t="s">
        <v>334</v>
      </c>
      <c r="AW75" t="s">
        <v>335</v>
      </c>
    </row>
    <row r="76" spans="2:54" x14ac:dyDescent="0.25">
      <c r="B76">
        <v>26</v>
      </c>
      <c r="C76"/>
      <c r="T76" t="s">
        <v>394</v>
      </c>
      <c r="V76" t="s">
        <v>60</v>
      </c>
      <c r="W76" t="s">
        <v>336</v>
      </c>
      <c r="AE76" s="11" t="s">
        <v>337</v>
      </c>
      <c r="AW76" t="s">
        <v>338</v>
      </c>
    </row>
    <row r="77" spans="2:54" x14ac:dyDescent="0.25">
      <c r="B77">
        <v>77</v>
      </c>
      <c r="C77"/>
      <c r="D77" s="7" t="s">
        <v>593</v>
      </c>
      <c r="T77" t="s">
        <v>523</v>
      </c>
      <c r="V77" t="s">
        <v>60</v>
      </c>
      <c r="W77" t="s">
        <v>339</v>
      </c>
      <c r="X77" s="7" t="s">
        <v>340</v>
      </c>
      <c r="AJ77" t="s">
        <v>341</v>
      </c>
      <c r="AK77" t="s">
        <v>341</v>
      </c>
      <c r="AL77" t="s">
        <v>342</v>
      </c>
      <c r="AN77" t="s">
        <v>341</v>
      </c>
      <c r="AW77" t="s">
        <v>208</v>
      </c>
      <c r="AX77" t="s">
        <v>262</v>
      </c>
    </row>
    <row r="78" spans="2:54" x14ac:dyDescent="0.25">
      <c r="B78">
        <v>75</v>
      </c>
      <c r="C78"/>
      <c r="D78" s="7" t="s">
        <v>594</v>
      </c>
      <c r="T78" t="s">
        <v>393</v>
      </c>
      <c r="V78" t="s">
        <v>60</v>
      </c>
      <c r="W78" t="s">
        <v>343</v>
      </c>
      <c r="X78" s="7" t="s">
        <v>344</v>
      </c>
      <c r="AI78" t="s">
        <v>345</v>
      </c>
      <c r="AK78" t="s">
        <v>345</v>
      </c>
      <c r="AL78" t="s">
        <v>342</v>
      </c>
      <c r="AN78" t="s">
        <v>346</v>
      </c>
      <c r="AW78" t="s">
        <v>209</v>
      </c>
      <c r="AX78" t="s">
        <v>268</v>
      </c>
    </row>
    <row r="79" spans="2:54" x14ac:dyDescent="0.25">
      <c r="B79">
        <v>79</v>
      </c>
      <c r="C79"/>
      <c r="D79" s="20" t="s">
        <v>595</v>
      </c>
      <c r="G79" s="20"/>
      <c r="J79" s="20"/>
      <c r="T79" t="s">
        <v>524</v>
      </c>
      <c r="V79" t="s">
        <v>60</v>
      </c>
      <c r="W79" t="s">
        <v>347</v>
      </c>
      <c r="X79" t="s">
        <v>348</v>
      </c>
      <c r="Y79" t="s">
        <v>319</v>
      </c>
      <c r="AH79" s="10" t="s">
        <v>349</v>
      </c>
      <c r="AI79" t="s">
        <v>349</v>
      </c>
      <c r="AJ79" t="s">
        <v>349</v>
      </c>
      <c r="AK79" t="s">
        <v>349</v>
      </c>
      <c r="AL79" t="s">
        <v>349</v>
      </c>
      <c r="AM79" t="s">
        <v>349</v>
      </c>
      <c r="AN79" t="s">
        <v>350</v>
      </c>
      <c r="AO79" t="s">
        <v>351</v>
      </c>
      <c r="AS79" t="s">
        <v>250</v>
      </c>
      <c r="AW79" t="s">
        <v>115</v>
      </c>
      <c r="AX79" t="s">
        <v>276</v>
      </c>
    </row>
    <row r="80" spans="2:54" x14ac:dyDescent="0.25">
      <c r="B80">
        <v>78</v>
      </c>
      <c r="C80"/>
      <c r="D80" s="20" t="s">
        <v>596</v>
      </c>
      <c r="G80" s="20"/>
      <c r="J80" s="20"/>
      <c r="T80" t="s">
        <v>525</v>
      </c>
      <c r="V80" t="s">
        <v>60</v>
      </c>
      <c r="W80" t="s">
        <v>352</v>
      </c>
      <c r="X80" t="s">
        <v>353</v>
      </c>
      <c r="Z80" t="s">
        <v>4</v>
      </c>
      <c r="AH80" s="10" t="s">
        <v>354</v>
      </c>
      <c r="AI80" t="s">
        <v>354</v>
      </c>
      <c r="AJ80" t="s">
        <v>354</v>
      </c>
      <c r="AK80" t="s">
        <v>354</v>
      </c>
      <c r="AL80" t="s">
        <v>354</v>
      </c>
      <c r="AM80" t="s">
        <v>354</v>
      </c>
      <c r="AN80" t="s">
        <v>355</v>
      </c>
      <c r="AO80" t="s">
        <v>356</v>
      </c>
      <c r="AS80" t="s">
        <v>258</v>
      </c>
      <c r="AW80" t="s">
        <v>125</v>
      </c>
      <c r="AX80" t="s">
        <v>283</v>
      </c>
      <c r="BB80" t="s">
        <v>160</v>
      </c>
    </row>
    <row r="81" spans="2:52" x14ac:dyDescent="0.25">
      <c r="B81">
        <v>28</v>
      </c>
      <c r="C81"/>
      <c r="T81" t="s">
        <v>526</v>
      </c>
      <c r="V81" t="s">
        <v>60</v>
      </c>
      <c r="W81" t="s">
        <v>357</v>
      </c>
      <c r="Y81" t="s">
        <v>319</v>
      </c>
      <c r="AE81" s="11" t="s">
        <v>358</v>
      </c>
    </row>
    <row r="82" spans="2:52" x14ac:dyDescent="0.25">
      <c r="B82">
        <v>73</v>
      </c>
      <c r="C82"/>
      <c r="D82" s="7" t="s">
        <v>607</v>
      </c>
      <c r="T82" t="s">
        <v>380</v>
      </c>
      <c r="Y82" s="7" t="s">
        <v>607</v>
      </c>
    </row>
    <row r="83" spans="2:52" x14ac:dyDescent="0.25">
      <c r="B83">
        <v>80</v>
      </c>
      <c r="C83"/>
      <c r="D83" s="22" t="s">
        <v>597</v>
      </c>
      <c r="G83" s="20"/>
      <c r="J83" s="20"/>
      <c r="T83" t="s">
        <v>527</v>
      </c>
      <c r="V83" t="s">
        <v>60</v>
      </c>
      <c r="W83" t="s">
        <v>359</v>
      </c>
      <c r="Y83" s="10" t="s">
        <v>360</v>
      </c>
    </row>
    <row r="84" spans="2:52" x14ac:dyDescent="0.25">
      <c r="C84">
        <v>5</v>
      </c>
      <c r="D84" s="11" t="s">
        <v>598</v>
      </c>
      <c r="G84" s="20"/>
      <c r="J84" s="20"/>
      <c r="T84" t="s">
        <v>528</v>
      </c>
      <c r="V84" t="s">
        <v>60</v>
      </c>
      <c r="W84" t="s">
        <v>361</v>
      </c>
      <c r="Z84" s="7" t="s">
        <v>362</v>
      </c>
    </row>
    <row r="85" spans="2:52" x14ac:dyDescent="0.25">
      <c r="B85">
        <v>30</v>
      </c>
      <c r="C85"/>
      <c r="T85" t="s">
        <v>529</v>
      </c>
      <c r="V85" t="s">
        <v>60</v>
      </c>
      <c r="W85" t="s">
        <v>363</v>
      </c>
      <c r="AE85" s="11" t="s">
        <v>364</v>
      </c>
      <c r="AW85" t="s">
        <v>98</v>
      </c>
    </row>
    <row r="86" spans="2:52" x14ac:dyDescent="0.25">
      <c r="B86">
        <v>56</v>
      </c>
      <c r="C86"/>
      <c r="T86" t="s">
        <v>530</v>
      </c>
      <c r="V86" t="s">
        <v>60</v>
      </c>
      <c r="W86" t="s">
        <v>365</v>
      </c>
      <c r="AE86" s="11" t="s">
        <v>366</v>
      </c>
      <c r="AW86" t="s">
        <v>106</v>
      </c>
    </row>
    <row r="87" spans="2:52" x14ac:dyDescent="0.25">
      <c r="B87">
        <v>58</v>
      </c>
      <c r="C87"/>
      <c r="T87" t="s">
        <v>531</v>
      </c>
      <c r="V87" t="s">
        <v>60</v>
      </c>
      <c r="W87" t="s">
        <v>367</v>
      </c>
      <c r="AE87" s="11" t="s">
        <v>368</v>
      </c>
    </row>
    <row r="88" spans="2:52" x14ac:dyDescent="0.25">
      <c r="B88">
        <v>71</v>
      </c>
      <c r="C88"/>
      <c r="T88" t="s">
        <v>532</v>
      </c>
      <c r="V88" t="s">
        <v>60</v>
      </c>
      <c r="W88" t="s">
        <v>373</v>
      </c>
      <c r="Z88" t="s">
        <v>11</v>
      </c>
      <c r="AB88" t="s">
        <v>265</v>
      </c>
      <c r="AW88" t="s">
        <v>374</v>
      </c>
    </row>
    <row r="89" spans="2:52" x14ac:dyDescent="0.25">
      <c r="B89">
        <v>60</v>
      </c>
      <c r="C89"/>
      <c r="T89" t="s">
        <v>533</v>
      </c>
      <c r="V89" t="s">
        <v>60</v>
      </c>
      <c r="W89" t="s">
        <v>369</v>
      </c>
      <c r="AE89" s="11" t="s">
        <v>370</v>
      </c>
      <c r="AW89" t="s">
        <v>135</v>
      </c>
    </row>
    <row r="90" spans="2:52" x14ac:dyDescent="0.25">
      <c r="B90">
        <v>62</v>
      </c>
      <c r="C90"/>
      <c r="T90" t="s">
        <v>534</v>
      </c>
      <c r="V90" t="s">
        <v>60</v>
      </c>
      <c r="W90" t="s">
        <v>371</v>
      </c>
      <c r="AE90" s="11" t="s">
        <v>372</v>
      </c>
      <c r="AW90" t="s">
        <v>144</v>
      </c>
    </row>
    <row r="91" spans="2:52" x14ac:dyDescent="0.25">
      <c r="B91" s="14">
        <v>44</v>
      </c>
      <c r="C91" s="15"/>
      <c r="D91" s="7" t="s">
        <v>622</v>
      </c>
      <c r="E91" s="24"/>
      <c r="H91" s="24"/>
      <c r="T91" t="s">
        <v>535</v>
      </c>
      <c r="U91" s="7" t="s">
        <v>623</v>
      </c>
      <c r="V91" t="s">
        <v>60</v>
      </c>
      <c r="W91" t="s">
        <v>381</v>
      </c>
      <c r="AG91" t="s">
        <v>382</v>
      </c>
      <c r="AH91" s="40" t="s">
        <v>383</v>
      </c>
      <c r="AJ91" t="s">
        <v>383</v>
      </c>
      <c r="AL91" t="s">
        <v>383</v>
      </c>
      <c r="AM91" t="s">
        <v>383</v>
      </c>
      <c r="AN91" t="s">
        <v>384</v>
      </c>
      <c r="AO91" s="40" t="s">
        <v>290</v>
      </c>
      <c r="AT91" s="11" t="s">
        <v>385</v>
      </c>
      <c r="AW91" t="s">
        <v>106</v>
      </c>
      <c r="AZ91" t="s">
        <v>386</v>
      </c>
    </row>
    <row r="92" spans="2:52" x14ac:dyDescent="0.25">
      <c r="B92" s="14">
        <v>46</v>
      </c>
      <c r="C92" s="15"/>
      <c r="D92" s="7" t="s">
        <v>388</v>
      </c>
      <c r="E92" s="24"/>
      <c r="H92" s="24"/>
      <c r="T92" t="s">
        <v>536</v>
      </c>
      <c r="U92" s="7" t="s">
        <v>388</v>
      </c>
      <c r="V92" t="s">
        <v>60</v>
      </c>
      <c r="W92" t="s">
        <v>387</v>
      </c>
      <c r="AG92" t="s">
        <v>102</v>
      </c>
      <c r="AH92" s="40" t="s">
        <v>389</v>
      </c>
      <c r="AJ92" t="s">
        <v>389</v>
      </c>
      <c r="AL92" t="s">
        <v>389</v>
      </c>
      <c r="AM92" t="s">
        <v>389</v>
      </c>
      <c r="AN92" t="s">
        <v>390</v>
      </c>
      <c r="AO92" s="40" t="s">
        <v>281</v>
      </c>
      <c r="AT92" s="11" t="s">
        <v>391</v>
      </c>
      <c r="AW92" t="s">
        <v>223</v>
      </c>
      <c r="AZ92" t="s">
        <v>392</v>
      </c>
    </row>
    <row r="93" spans="2:52" x14ac:dyDescent="0.25">
      <c r="C93">
        <v>35</v>
      </c>
      <c r="T93" t="s">
        <v>538</v>
      </c>
      <c r="V93" t="s">
        <v>402</v>
      </c>
      <c r="W93" t="s">
        <v>403</v>
      </c>
      <c r="Y93" t="s">
        <v>85</v>
      </c>
      <c r="AO93" s="40"/>
      <c r="AW93" t="s">
        <v>83</v>
      </c>
      <c r="AZ93" t="s">
        <v>621</v>
      </c>
    </row>
    <row r="94" spans="2:52" x14ac:dyDescent="0.25">
      <c r="C94">
        <v>37</v>
      </c>
      <c r="T94" t="s">
        <v>539</v>
      </c>
      <c r="V94" t="s">
        <v>402</v>
      </c>
      <c r="W94" t="s">
        <v>404</v>
      </c>
      <c r="AW94" t="s">
        <v>311</v>
      </c>
      <c r="AX94" t="s">
        <v>291</v>
      </c>
      <c r="AY94" t="s">
        <v>224</v>
      </c>
    </row>
    <row r="95" spans="2:52" x14ac:dyDescent="0.25">
      <c r="B95">
        <v>55</v>
      </c>
      <c r="C95"/>
      <c r="D95" s="12" t="s">
        <v>406</v>
      </c>
      <c r="T95" t="s">
        <v>541</v>
      </c>
      <c r="V95" t="s">
        <v>402</v>
      </c>
      <c r="W95" t="s">
        <v>405</v>
      </c>
      <c r="AU95" s="12" t="s">
        <v>406</v>
      </c>
      <c r="AZ95" t="s">
        <v>292</v>
      </c>
    </row>
    <row r="96" spans="2:52" x14ac:dyDescent="0.25">
      <c r="B96">
        <v>57</v>
      </c>
      <c r="C96"/>
      <c r="D96" s="12" t="s">
        <v>408</v>
      </c>
      <c r="T96" t="s">
        <v>542</v>
      </c>
      <c r="V96" t="s">
        <v>402</v>
      </c>
      <c r="W96" t="s">
        <v>407</v>
      </c>
      <c r="AB96" t="s">
        <v>270</v>
      </c>
      <c r="AU96" s="12" t="s">
        <v>408</v>
      </c>
      <c r="AZ96" t="s">
        <v>302</v>
      </c>
    </row>
    <row r="97" spans="2:56" x14ac:dyDescent="0.25">
      <c r="B97">
        <v>59</v>
      </c>
      <c r="C97"/>
      <c r="D97" s="12" t="s">
        <v>410</v>
      </c>
      <c r="T97" t="s">
        <v>543</v>
      </c>
      <c r="V97" t="s">
        <v>402</v>
      </c>
      <c r="W97" t="s">
        <v>409</v>
      </c>
      <c r="AB97" t="s">
        <v>265</v>
      </c>
      <c r="AU97" s="12" t="s">
        <v>410</v>
      </c>
      <c r="BC97" t="s">
        <v>411</v>
      </c>
    </row>
    <row r="98" spans="2:56" x14ac:dyDescent="0.25">
      <c r="B98">
        <v>61</v>
      </c>
      <c r="C98"/>
      <c r="D98" s="12" t="s">
        <v>413</v>
      </c>
      <c r="T98" t="s">
        <v>544</v>
      </c>
      <c r="V98" t="s">
        <v>402</v>
      </c>
      <c r="W98" t="s">
        <v>412</v>
      </c>
      <c r="Y98" t="s">
        <v>85</v>
      </c>
      <c r="AB98" t="s">
        <v>294</v>
      </c>
      <c r="AU98" s="12" t="s">
        <v>413</v>
      </c>
      <c r="BC98" t="s">
        <v>414</v>
      </c>
    </row>
    <row r="99" spans="2:56" x14ac:dyDescent="0.25">
      <c r="B99">
        <v>63</v>
      </c>
      <c r="C99"/>
      <c r="D99" s="12" t="s">
        <v>416</v>
      </c>
      <c r="T99" t="s">
        <v>545</v>
      </c>
      <c r="V99" t="s">
        <v>402</v>
      </c>
      <c r="W99" t="s">
        <v>415</v>
      </c>
      <c r="AB99" t="s">
        <v>320</v>
      </c>
      <c r="AU99" s="12" t="s">
        <v>416</v>
      </c>
      <c r="BC99" t="s">
        <v>417</v>
      </c>
    </row>
    <row r="100" spans="2:56" x14ac:dyDescent="0.25">
      <c r="B100">
        <v>65</v>
      </c>
      <c r="C100"/>
      <c r="D100" s="12" t="s">
        <v>419</v>
      </c>
      <c r="T100" t="s">
        <v>546</v>
      </c>
      <c r="V100" t="s">
        <v>402</v>
      </c>
      <c r="W100" t="s">
        <v>418</v>
      </c>
      <c r="AB100" t="s">
        <v>322</v>
      </c>
      <c r="AU100" s="12" t="s">
        <v>419</v>
      </c>
      <c r="BC100" t="s">
        <v>420</v>
      </c>
    </row>
    <row r="101" spans="2:56" x14ac:dyDescent="0.25">
      <c r="B101">
        <v>67</v>
      </c>
      <c r="C101"/>
      <c r="D101" s="12" t="s">
        <v>124</v>
      </c>
      <c r="T101" t="s">
        <v>547</v>
      </c>
      <c r="V101" t="s">
        <v>60</v>
      </c>
      <c r="W101" t="s">
        <v>421</v>
      </c>
      <c r="AU101" s="12" t="s">
        <v>124</v>
      </c>
    </row>
    <row r="102" spans="2:56" x14ac:dyDescent="0.25">
      <c r="B102">
        <v>69</v>
      </c>
      <c r="C102"/>
      <c r="T102" t="s">
        <v>548</v>
      </c>
      <c r="V102" t="s">
        <v>60</v>
      </c>
      <c r="W102" t="s">
        <v>422</v>
      </c>
      <c r="AU102" t="s">
        <v>134</v>
      </c>
    </row>
    <row r="103" spans="2:56" x14ac:dyDescent="0.25">
      <c r="B103">
        <v>29</v>
      </c>
      <c r="C103"/>
      <c r="T103" t="s">
        <v>549</v>
      </c>
      <c r="V103" t="s">
        <v>60</v>
      </c>
      <c r="W103" t="s">
        <v>423</v>
      </c>
      <c r="Z103" t="s">
        <v>4</v>
      </c>
      <c r="AZ103" t="s">
        <v>401</v>
      </c>
    </row>
    <row r="104" spans="2:56" x14ac:dyDescent="0.25">
      <c r="C104">
        <v>80</v>
      </c>
      <c r="T104" t="s">
        <v>550</v>
      </c>
      <c r="V104" t="s">
        <v>424</v>
      </c>
      <c r="W104" t="s">
        <v>425</v>
      </c>
      <c r="Z104" t="s">
        <v>13</v>
      </c>
      <c r="BC104" t="s">
        <v>426</v>
      </c>
      <c r="BD104" t="s">
        <v>427</v>
      </c>
    </row>
    <row r="105" spans="2:56" x14ac:dyDescent="0.25">
      <c r="C105">
        <v>79</v>
      </c>
      <c r="T105" t="s">
        <v>551</v>
      </c>
      <c r="V105" t="s">
        <v>424</v>
      </c>
      <c r="W105" t="s">
        <v>428</v>
      </c>
      <c r="BC105" t="s">
        <v>429</v>
      </c>
      <c r="BD105" t="s">
        <v>430</v>
      </c>
    </row>
    <row r="106" spans="2:56" x14ac:dyDescent="0.25">
      <c r="C106">
        <v>69</v>
      </c>
      <c r="D106" s="13" t="s">
        <v>424</v>
      </c>
      <c r="T106" t="s">
        <v>552</v>
      </c>
      <c r="U106" s="7" t="s">
        <v>424</v>
      </c>
    </row>
    <row r="107" spans="2:56" x14ac:dyDescent="0.25">
      <c r="C107">
        <v>70</v>
      </c>
      <c r="D107" s="18" t="s">
        <v>554</v>
      </c>
      <c r="G107" s="24"/>
      <c r="J107" s="24"/>
      <c r="T107" t="s">
        <v>553</v>
      </c>
      <c r="U107" s="7" t="s">
        <v>554</v>
      </c>
    </row>
    <row r="108" spans="2:56" x14ac:dyDescent="0.25">
      <c r="C108">
        <v>72</v>
      </c>
      <c r="D108" s="7" t="s">
        <v>556</v>
      </c>
      <c r="T108" t="s">
        <v>555</v>
      </c>
      <c r="U108" s="7" t="s">
        <v>556</v>
      </c>
    </row>
    <row r="109" spans="2:56" x14ac:dyDescent="0.25">
      <c r="C109">
        <v>71</v>
      </c>
      <c r="D109" s="7" t="s">
        <v>558</v>
      </c>
      <c r="T109" t="s">
        <v>557</v>
      </c>
      <c r="U109" s="7" t="s">
        <v>558</v>
      </c>
    </row>
    <row r="110" spans="2:56" x14ac:dyDescent="0.25">
      <c r="C110">
        <v>77</v>
      </c>
      <c r="T110" t="s">
        <v>559</v>
      </c>
      <c r="V110" t="s">
        <v>424</v>
      </c>
      <c r="W110" t="s">
        <v>431</v>
      </c>
      <c r="BC110" t="s">
        <v>432</v>
      </c>
    </row>
    <row r="111" spans="2:56" x14ac:dyDescent="0.25">
      <c r="C111">
        <v>52</v>
      </c>
      <c r="D111" s="20" t="s">
        <v>586</v>
      </c>
      <c r="G111" s="20"/>
      <c r="J111" s="11"/>
      <c r="T111" t="s">
        <v>560</v>
      </c>
      <c r="V111" t="s">
        <v>424</v>
      </c>
      <c r="W111" t="s">
        <v>433</v>
      </c>
      <c r="Z111" t="s">
        <v>14</v>
      </c>
      <c r="AC111" s="11"/>
      <c r="BB111" t="s">
        <v>434</v>
      </c>
      <c r="BC111" t="s">
        <v>435</v>
      </c>
    </row>
    <row r="112" spans="2:56" x14ac:dyDescent="0.25">
      <c r="C112">
        <v>50</v>
      </c>
      <c r="D112" s="17" t="s">
        <v>600</v>
      </c>
      <c r="G112" s="11"/>
      <c r="J112" s="11"/>
      <c r="T112" t="s">
        <v>561</v>
      </c>
      <c r="V112" t="s">
        <v>424</v>
      </c>
      <c r="W112" t="s">
        <v>436</v>
      </c>
      <c r="AA112" s="10" t="s">
        <v>26</v>
      </c>
      <c r="AC112" s="11"/>
      <c r="BC112" t="s">
        <v>437</v>
      </c>
    </row>
    <row r="113" spans="2:55" x14ac:dyDescent="0.25">
      <c r="C113">
        <v>76</v>
      </c>
      <c r="T113" t="s">
        <v>562</v>
      </c>
      <c r="V113" t="s">
        <v>424</v>
      </c>
      <c r="W113" t="s">
        <v>438</v>
      </c>
      <c r="BC113" t="s">
        <v>439</v>
      </c>
    </row>
    <row r="114" spans="2:55" x14ac:dyDescent="0.25">
      <c r="C114">
        <v>75</v>
      </c>
      <c r="T114" t="s">
        <v>563</v>
      </c>
      <c r="V114" t="s">
        <v>424</v>
      </c>
      <c r="W114" t="s">
        <v>440</v>
      </c>
      <c r="AA114" t="s">
        <v>25</v>
      </c>
      <c r="BB114" t="s">
        <v>441</v>
      </c>
      <c r="BC114" t="s">
        <v>442</v>
      </c>
    </row>
    <row r="115" spans="2:55" x14ac:dyDescent="0.25">
      <c r="C115">
        <v>74</v>
      </c>
      <c r="T115" t="s">
        <v>564</v>
      </c>
      <c r="V115" t="s">
        <v>424</v>
      </c>
      <c r="W115" t="s">
        <v>443</v>
      </c>
      <c r="AA115" t="s">
        <v>24</v>
      </c>
      <c r="BC115" t="s">
        <v>444</v>
      </c>
    </row>
    <row r="116" spans="2:55" x14ac:dyDescent="0.25">
      <c r="C116">
        <v>73</v>
      </c>
      <c r="T116" t="s">
        <v>565</v>
      </c>
      <c r="V116" t="s">
        <v>424</v>
      </c>
      <c r="W116" t="s">
        <v>445</v>
      </c>
      <c r="AA116" t="s">
        <v>23</v>
      </c>
      <c r="BB116" t="s">
        <v>446</v>
      </c>
      <c r="BC116" t="s">
        <v>447</v>
      </c>
    </row>
    <row r="117" spans="2:55" x14ac:dyDescent="0.25">
      <c r="C117">
        <v>78</v>
      </c>
      <c r="T117" t="s">
        <v>566</v>
      </c>
      <c r="V117" t="s">
        <v>424</v>
      </c>
      <c r="W117" t="s">
        <v>448</v>
      </c>
      <c r="BB117" t="s">
        <v>449</v>
      </c>
      <c r="BC117" t="s">
        <v>450</v>
      </c>
    </row>
    <row r="118" spans="2:55" x14ac:dyDescent="0.25">
      <c r="C118">
        <v>58</v>
      </c>
      <c r="O118" s="3"/>
      <c r="T118" t="s">
        <v>567</v>
      </c>
      <c r="V118" t="s">
        <v>424</v>
      </c>
      <c r="W118" t="s">
        <v>451</v>
      </c>
      <c r="AA118" t="s">
        <v>22</v>
      </c>
      <c r="BB118" t="s">
        <v>441</v>
      </c>
      <c r="BC118" t="s">
        <v>452</v>
      </c>
    </row>
    <row r="119" spans="2:55" x14ac:dyDescent="0.25">
      <c r="C119">
        <v>56</v>
      </c>
      <c r="M119" s="3"/>
      <c r="O119" s="3"/>
      <c r="T119" t="s">
        <v>568</v>
      </c>
      <c r="V119" t="s">
        <v>424</v>
      </c>
      <c r="W119" t="s">
        <v>453</v>
      </c>
      <c r="AA119" t="s">
        <v>21</v>
      </c>
      <c r="BB119" t="s">
        <v>454</v>
      </c>
      <c r="BC119" t="s">
        <v>455</v>
      </c>
    </row>
    <row r="120" spans="2:55" x14ac:dyDescent="0.25">
      <c r="C120">
        <v>54</v>
      </c>
      <c r="T120" t="s">
        <v>569</v>
      </c>
      <c r="V120" t="s">
        <v>424</v>
      </c>
      <c r="W120" t="s">
        <v>456</v>
      </c>
      <c r="AA120" t="s">
        <v>20</v>
      </c>
      <c r="BB120" t="s">
        <v>446</v>
      </c>
      <c r="BC120" t="s">
        <v>457</v>
      </c>
    </row>
    <row r="121" spans="2:55" x14ac:dyDescent="0.25">
      <c r="C121">
        <v>11</v>
      </c>
      <c r="T121" t="s">
        <v>570</v>
      </c>
      <c r="V121" t="s">
        <v>60</v>
      </c>
      <c r="W121" t="s">
        <v>458</v>
      </c>
      <c r="Z121" t="s">
        <v>3</v>
      </c>
      <c r="AE121" s="11" t="s">
        <v>459</v>
      </c>
      <c r="AF121" s="11" t="s">
        <v>460</v>
      </c>
      <c r="BC121" t="s">
        <v>461</v>
      </c>
    </row>
    <row r="122" spans="2:55" x14ac:dyDescent="0.25">
      <c r="C122">
        <v>13</v>
      </c>
      <c r="T122" t="s">
        <v>571</v>
      </c>
      <c r="V122" t="s">
        <v>60</v>
      </c>
      <c r="W122" t="s">
        <v>462</v>
      </c>
      <c r="AE122" s="11" t="s">
        <v>463</v>
      </c>
      <c r="AF122" s="11" t="s">
        <v>464</v>
      </c>
      <c r="BC122" t="s">
        <v>465</v>
      </c>
    </row>
    <row r="123" spans="2:55" x14ac:dyDescent="0.25">
      <c r="C123">
        <v>15</v>
      </c>
      <c r="T123" t="s">
        <v>572</v>
      </c>
      <c r="V123" t="s">
        <v>60</v>
      </c>
      <c r="W123" t="s">
        <v>466</v>
      </c>
      <c r="AE123" s="11" t="s">
        <v>467</v>
      </c>
    </row>
    <row r="124" spans="2:55" x14ac:dyDescent="0.25">
      <c r="C124">
        <v>17</v>
      </c>
      <c r="T124" t="s">
        <v>573</v>
      </c>
      <c r="V124" t="s">
        <v>60</v>
      </c>
      <c r="W124" t="s">
        <v>468</v>
      </c>
      <c r="AE124" s="11" t="s">
        <v>469</v>
      </c>
      <c r="AF124" s="11" t="s">
        <v>470</v>
      </c>
      <c r="BB124" t="s">
        <v>434</v>
      </c>
      <c r="BC124" t="s">
        <v>471</v>
      </c>
    </row>
    <row r="125" spans="2:55" x14ac:dyDescent="0.25">
      <c r="C125">
        <v>19</v>
      </c>
      <c r="T125" t="s">
        <v>574</v>
      </c>
      <c r="V125" t="s">
        <v>60</v>
      </c>
      <c r="W125" t="s">
        <v>472</v>
      </c>
      <c r="AE125" s="11" t="s">
        <v>473</v>
      </c>
    </row>
    <row r="126" spans="2:55" x14ac:dyDescent="0.25">
      <c r="B126">
        <v>49</v>
      </c>
      <c r="C126"/>
      <c r="M126" s="1"/>
      <c r="N126" s="1"/>
      <c r="O126" s="1"/>
      <c r="T126" t="s">
        <v>575</v>
      </c>
      <c r="V126" t="s">
        <v>60</v>
      </c>
      <c r="W126" t="s">
        <v>474</v>
      </c>
      <c r="Z126" t="s">
        <v>14</v>
      </c>
      <c r="AP126" t="s">
        <v>78</v>
      </c>
      <c r="AS126" t="s">
        <v>250</v>
      </c>
      <c r="AW126" t="s">
        <v>208</v>
      </c>
    </row>
    <row r="127" spans="2:55" x14ac:dyDescent="0.25">
      <c r="C127">
        <v>9</v>
      </c>
      <c r="T127" t="s">
        <v>576</v>
      </c>
      <c r="V127" t="s">
        <v>60</v>
      </c>
      <c r="W127" t="s">
        <v>475</v>
      </c>
      <c r="AE127" s="11" t="s">
        <v>476</v>
      </c>
    </row>
    <row r="128" spans="2:55" ht="15.75" thickBot="1" x14ac:dyDescent="0.3">
      <c r="B128">
        <v>51</v>
      </c>
      <c r="C128"/>
      <c r="M128" s="1"/>
      <c r="N128" s="1"/>
      <c r="O128" s="1"/>
      <c r="T128" t="s">
        <v>577</v>
      </c>
      <c r="V128" t="s">
        <v>60</v>
      </c>
      <c r="W128" t="s">
        <v>477</v>
      </c>
      <c r="Z128" t="s">
        <v>15</v>
      </c>
      <c r="AP128" t="s">
        <v>66</v>
      </c>
      <c r="AS128" t="s">
        <v>258</v>
      </c>
      <c r="AW128" t="s">
        <v>209</v>
      </c>
    </row>
    <row r="129" spans="1:57" ht="15.75" thickTop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7"/>
      <c r="AD129" s="28"/>
      <c r="AE129" s="29"/>
      <c r="AF129" s="29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9"/>
      <c r="AU129" s="26"/>
      <c r="AV129" s="26"/>
      <c r="AW129" s="26"/>
      <c r="AX129" s="26"/>
      <c r="AY129" s="26"/>
      <c r="AZ129" s="26"/>
      <c r="BA129" s="29"/>
      <c r="BB129" s="26"/>
      <c r="BC129" s="26"/>
      <c r="BD129" s="26"/>
      <c r="BE129" s="26"/>
    </row>
    <row r="130" spans="1:57" x14ac:dyDescent="0.25">
      <c r="A130" s="11"/>
      <c r="C130"/>
    </row>
    <row r="131" spans="1:57" x14ac:dyDescent="0.25">
      <c r="C131"/>
    </row>
    <row r="132" spans="1:57" x14ac:dyDescent="0.25">
      <c r="C132"/>
    </row>
    <row r="133" spans="1:57" x14ac:dyDescent="0.25">
      <c r="C133"/>
    </row>
    <row r="134" spans="1:57" x14ac:dyDescent="0.25">
      <c r="C134"/>
    </row>
    <row r="135" spans="1:57" x14ac:dyDescent="0.25">
      <c r="C135"/>
    </row>
    <row r="136" spans="1:57" x14ac:dyDescent="0.25">
      <c r="C136"/>
    </row>
    <row r="137" spans="1:57" x14ac:dyDescent="0.25">
      <c r="C137"/>
    </row>
    <row r="138" spans="1:57" x14ac:dyDescent="0.25">
      <c r="C138"/>
    </row>
    <row r="139" spans="1:57" x14ac:dyDescent="0.25">
      <c r="C139"/>
    </row>
    <row r="140" spans="1:57" x14ac:dyDescent="0.25">
      <c r="C140"/>
    </row>
    <row r="141" spans="1:57" x14ac:dyDescent="0.25">
      <c r="C141"/>
    </row>
    <row r="142" spans="1:57" x14ac:dyDescent="0.25">
      <c r="C142"/>
    </row>
    <row r="143" spans="1:57" x14ac:dyDescent="0.25">
      <c r="C143"/>
    </row>
    <row r="144" spans="1:57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</sheetData>
  <sheetProtection algorithmName="SHA-512" hashValue="mbT8aIjOcDjI/SojQrx+9RYfqCAbgrERssod9yhsLEjM4tVr4FxzpgOp1fJniHy9nIuXrxGgn72mphm1FXuXog==" saltValue="5Gpa4SLpQmVZe7qSZO5GcA==" spinCount="100000" sheet="1" formatCells="0" autoFilter="0"/>
  <autoFilter ref="A20:BD140" xr:uid="{72E574A8-3E0D-4034-81CB-AE06318C8CE7}"/>
  <phoneticPr fontId="1" type="noConversion"/>
  <conditionalFormatting sqref="A151">
    <cfRule type="duplicateValues" dxfId="27" priority="51"/>
  </conditionalFormatting>
  <conditionalFormatting sqref="B151">
    <cfRule type="duplicateValues" dxfId="26" priority="52"/>
  </conditionalFormatting>
  <conditionalFormatting sqref="E151">
    <cfRule type="duplicateValues" dxfId="25" priority="53"/>
  </conditionalFormatting>
  <conditionalFormatting sqref="F151">
    <cfRule type="duplicateValues" dxfId="24" priority="54"/>
  </conditionalFormatting>
  <conditionalFormatting sqref="H85:H88">
    <cfRule type="duplicateValues" dxfId="23" priority="40"/>
  </conditionalFormatting>
  <conditionalFormatting sqref="H129:H136">
    <cfRule type="duplicateValues" dxfId="22" priority="45"/>
  </conditionalFormatting>
  <conditionalFormatting sqref="H142:H146">
    <cfRule type="duplicateValues" dxfId="21" priority="43"/>
  </conditionalFormatting>
  <conditionalFormatting sqref="I93:I94">
    <cfRule type="duplicateValues" dxfId="20" priority="39"/>
  </conditionalFormatting>
  <conditionalFormatting sqref="I129:I136">
    <cfRule type="duplicateValues" dxfId="19" priority="46"/>
  </conditionalFormatting>
  <conditionalFormatting sqref="I137:I140">
    <cfRule type="duplicateValues" dxfId="18" priority="42"/>
  </conditionalFormatting>
  <conditionalFormatting sqref="I142:I146">
    <cfRule type="duplicateValues" dxfId="17" priority="44"/>
  </conditionalFormatting>
  <conditionalFormatting sqref="I147:I150">
    <cfRule type="duplicateValues" dxfId="16" priority="41"/>
  </conditionalFormatting>
  <conditionalFormatting sqref="H91:H92">
    <cfRule type="duplicateValues" dxfId="10" priority="676"/>
  </conditionalFormatting>
  <conditionalFormatting sqref="I91:I92">
    <cfRule type="duplicateValues" dxfId="9" priority="677"/>
  </conditionalFormatting>
  <conditionalFormatting sqref="F20:F25 F32:F150">
    <cfRule type="duplicateValues" dxfId="8" priority="765"/>
  </conditionalFormatting>
  <conditionalFormatting sqref="E54:E150 E20:E31 E34:E51">
    <cfRule type="duplicateValues" dxfId="2" priority="778"/>
  </conditionalFormatting>
  <conditionalFormatting sqref="B54:B150 B20:B51">
    <cfRule type="duplicateValues" dxfId="1" priority="782"/>
  </conditionalFormatting>
  <conditionalFormatting sqref="C20:C150">
    <cfRule type="duplicateValues" dxfId="0" priority="785"/>
  </conditionalFormatting>
  <dataValidations disablePrompts="1" count="2">
    <dataValidation type="list" allowBlank="1" showInputMessage="1" showErrorMessage="1" sqref="AT2 AE2:AF2" xr:uid="{92C0DF22-F58B-4AD1-B95B-89FB64C996C1}">
      <formula1>#REF!</formula1>
    </dataValidation>
    <dataValidation type="list" allowBlank="1" showInputMessage="1" showErrorMessage="1" sqref="AF3" xr:uid="{724F9D91-10FE-4AC5-ACD9-A1017A52AB1E}">
      <formula1>#REF!</formula1>
    </dataValidation>
  </dataValidations>
  <pageMargins left="0.7" right="0.7" top="0.75" bottom="0.75" header="0.3" footer="0.3"/>
  <pageSetup paperSize="9" orientation="portrait" r:id="rId1"/>
  <ignoredErrors>
    <ignoredError sqref="B16:B18" numberStoredAsTex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" id="{B0061907-EF34-4943-8B22-996281CCF01C}">
            <xm:f>_Board!T21=4</xm:f>
            <x14:dxf>
              <font>
                <b/>
                <i val="0"/>
                <color theme="0" tint="-4.9989318521683403E-2"/>
              </font>
              <fill>
                <patternFill patternType="solid">
                  <bgColor theme="9"/>
                </patternFill>
              </fill>
            </x14:dxf>
          </x14:cfRule>
          <x14:cfRule type="expression" priority="59" id="{41858C7B-D1FE-4F8B-AD3D-2FF732FCB208}">
            <xm:f>AND(_Board!T21&lt;4, _Board!T21&gt;0)</xm:f>
            <x14:dxf>
              <font>
                <b val="0"/>
                <i val="0"/>
                <color auto="1"/>
              </font>
              <fill>
                <patternFill patternType="solid">
                  <bgColor rgb="FF99FFCC"/>
                </patternFill>
              </fill>
            </x14:dxf>
          </x14:cfRule>
          <x14:cfRule type="expression" priority="60" id="{214147E4-AD6D-41E9-9FD3-BB1FC7C3A487}">
            <xm:f>AND(_Board!T21&lt;8, _Board!T21&gt;4)</xm:f>
            <x14:dxf>
              <fill>
                <patternFill>
                  <bgColor rgb="FFFF9966"/>
                </patternFill>
              </fill>
            </x14:dxf>
          </x14:cfRule>
          <x14:cfRule type="expression" priority="61" id="{714DE8B6-F004-4573-BEDF-F9BA1611F97C}">
            <xm:f>_Board!T21&gt;=8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62" id="{2198FC9C-371A-418B-8C7D-42C89EB575CE}">
            <xm:f>_Board!T21&lt;0</xm:f>
            <x14:dxf>
              <font>
                <color theme="0"/>
              </font>
              <fill>
                <patternFill>
                  <bgColor theme="0" tint="-0.499984740745262"/>
                </patternFill>
              </fill>
            </x14:dxf>
          </x14:cfRule>
          <xm:sqref>T21:T105</xm:sqref>
        </x14:conditionalFormatting>
        <x14:conditionalFormatting xmlns:xm="http://schemas.microsoft.com/office/excel/2006/main">
          <x14:cfRule type="expression" priority="773" id="{B0061907-EF34-4943-8B22-996281CCF01C}">
            <xm:f>_Board!T106=4</xm:f>
            <x14:dxf>
              <font>
                <b/>
                <i val="0"/>
                <color theme="0" tint="-4.9989318521683403E-2"/>
              </font>
              <fill>
                <patternFill patternType="solid">
                  <bgColor theme="9"/>
                </patternFill>
              </fill>
            </x14:dxf>
          </x14:cfRule>
          <x14:cfRule type="expression" priority="774" id="{41858C7B-D1FE-4F8B-AD3D-2FF732FCB208}">
            <xm:f>AND(_Board!T106&lt;4, _Board!T106&gt;0)</xm:f>
            <x14:dxf>
              <font>
                <b val="0"/>
                <i val="0"/>
                <color auto="1"/>
              </font>
              <fill>
                <patternFill patternType="solid">
                  <bgColor rgb="FF99FFCC"/>
                </patternFill>
              </fill>
            </x14:dxf>
          </x14:cfRule>
          <x14:cfRule type="expression" priority="775" id="{214147E4-AD6D-41E9-9FD3-BB1FC7C3A487}">
            <xm:f>AND(_Board!T106&lt;8, _Board!T106&gt;4)</xm:f>
            <x14:dxf>
              <fill>
                <patternFill>
                  <bgColor rgb="FFFF9966"/>
                </patternFill>
              </fill>
            </x14:dxf>
          </x14:cfRule>
          <x14:cfRule type="expression" priority="776" id="{714DE8B6-F004-4573-BEDF-F9BA1611F97C}">
            <xm:f>_Board!T106&gt;=8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777" id="{2198FC9C-371A-418B-8C7D-42C89EB575CE}">
            <xm:f>_Board!T106&lt;0</xm:f>
            <x14:dxf>
              <font>
                <color theme="0"/>
              </font>
              <fill>
                <patternFill>
                  <bgColor theme="0" tint="-0.499984740745262"/>
                </patternFill>
              </fill>
            </x14:dxf>
          </x14:cfRule>
          <xm:sqref>T106:T128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88B3-F7CB-4768-9706-D475762BEF60}">
  <dimension ref="A1:BG128"/>
  <sheetViews>
    <sheetView topLeftCell="A92" workbookViewId="0">
      <selection activeCell="V106" sqref="A106:XFD106"/>
    </sheetView>
  </sheetViews>
  <sheetFormatPr defaultRowHeight="15" x14ac:dyDescent="0.25"/>
  <cols>
    <col min="1" max="20" width="4.7109375" customWidth="1"/>
    <col min="28" max="28" width="12" customWidth="1"/>
  </cols>
  <sheetData>
    <row r="1" spans="1:56" ht="6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2" t="s">
        <v>59</v>
      </c>
      <c r="V1" s="2" t="s">
        <v>478</v>
      </c>
      <c r="W1" s="2" t="s">
        <v>58</v>
      </c>
      <c r="X1" s="2" t="s">
        <v>0</v>
      </c>
      <c r="Y1" s="2" t="s">
        <v>1</v>
      </c>
      <c r="Z1" s="2" t="s">
        <v>2</v>
      </c>
      <c r="AA1" s="2" t="s">
        <v>16</v>
      </c>
      <c r="AB1" s="2" t="s">
        <v>29</v>
      </c>
      <c r="AC1" s="2" t="s">
        <v>30</v>
      </c>
      <c r="AD1" s="2" t="s">
        <v>31</v>
      </c>
      <c r="AE1" s="2" t="s">
        <v>32</v>
      </c>
      <c r="AF1" s="2" t="s">
        <v>33</v>
      </c>
      <c r="AG1" s="2" t="s">
        <v>34</v>
      </c>
      <c r="AH1" s="2" t="s">
        <v>35</v>
      </c>
      <c r="AI1" s="2" t="s">
        <v>36</v>
      </c>
      <c r="AJ1" s="2" t="s">
        <v>37</v>
      </c>
      <c r="AK1" s="2" t="s">
        <v>38</v>
      </c>
      <c r="AL1" s="2" t="s">
        <v>39</v>
      </c>
      <c r="AM1" s="2" t="s">
        <v>40</v>
      </c>
      <c r="AN1" s="2" t="s">
        <v>41</v>
      </c>
      <c r="AO1" s="2" t="s">
        <v>42</v>
      </c>
      <c r="AP1" s="2" t="s">
        <v>43</v>
      </c>
      <c r="AQ1" s="2" t="s">
        <v>44</v>
      </c>
      <c r="AR1" s="2" t="s">
        <v>45</v>
      </c>
      <c r="AS1" s="2" t="s">
        <v>46</v>
      </c>
      <c r="AT1" s="2" t="s">
        <v>47</v>
      </c>
      <c r="AU1" s="2" t="s">
        <v>48</v>
      </c>
      <c r="AV1" s="2" t="s">
        <v>49</v>
      </c>
      <c r="AW1" s="2" t="s">
        <v>50</v>
      </c>
      <c r="AX1" s="2" t="s">
        <v>51</v>
      </c>
      <c r="AY1" s="2" t="s">
        <v>52</v>
      </c>
      <c r="AZ1" s="2" t="s">
        <v>53</v>
      </c>
      <c r="BA1" s="2" t="s">
        <v>54</v>
      </c>
      <c r="BB1" s="2" t="s">
        <v>55</v>
      </c>
      <c r="BC1" s="2" t="s">
        <v>56</v>
      </c>
      <c r="BD1" s="2" t="s">
        <v>57</v>
      </c>
    </row>
    <row r="2" spans="1:56" hidden="1" x14ac:dyDescent="0.25">
      <c r="A2" s="3" t="s">
        <v>578</v>
      </c>
      <c r="B2" s="3" t="s">
        <v>579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56" hidden="1" x14ac:dyDescent="0.25">
      <c r="A3" s="3" t="s">
        <v>580</v>
      </c>
      <c r="B3" s="3" t="s">
        <v>581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56" hidden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56" hidden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56" hidden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56" hidden="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56" hidden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56" hidden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56" hidden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56" hidden="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56" hidden="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56" hidden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56" hidden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56" hidden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56" hidden="1" x14ac:dyDescent="0.25">
      <c r="A16" s="4"/>
      <c r="B16" s="3" t="s">
        <v>582</v>
      </c>
      <c r="C16" s="3" t="s">
        <v>601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59" hidden="1" x14ac:dyDescent="0.25">
      <c r="A17" s="5"/>
      <c r="B17" s="3" t="s">
        <v>583</v>
      </c>
      <c r="C17" s="3" t="s">
        <v>602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59" hidden="1" x14ac:dyDescent="0.25">
      <c r="A18" s="6"/>
      <c r="B18" s="3" t="s">
        <v>584</v>
      </c>
      <c r="C18" s="3" t="s">
        <v>603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59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59" s="2" customFormat="1" ht="60" x14ac:dyDescent="0.25">
      <c r="Q20" s="2">
        <v>100</v>
      </c>
      <c r="R20" s="2">
        <v>144</v>
      </c>
      <c r="S20" s="2">
        <v>176</v>
      </c>
      <c r="T20" s="2">
        <v>224</v>
      </c>
      <c r="U20" s="2" t="s">
        <v>59</v>
      </c>
      <c r="V20" s="2" t="s">
        <v>478</v>
      </c>
      <c r="W20" s="2" t="s">
        <v>58</v>
      </c>
      <c r="X20" s="2" t="s">
        <v>0</v>
      </c>
      <c r="Y20" s="2" t="s">
        <v>1</v>
      </c>
      <c r="Z20" s="2" t="s">
        <v>2</v>
      </c>
      <c r="AA20" s="2" t="s">
        <v>16</v>
      </c>
      <c r="AB20" s="2" t="s">
        <v>29</v>
      </c>
      <c r="AC20" s="2" t="s">
        <v>30</v>
      </c>
      <c r="AD20" s="2" t="s">
        <v>31</v>
      </c>
      <c r="AE20" s="2" t="s">
        <v>32</v>
      </c>
      <c r="AF20" s="2" t="s">
        <v>33</v>
      </c>
      <c r="AG20" s="2" t="s">
        <v>34</v>
      </c>
      <c r="AH20" s="2" t="s">
        <v>35</v>
      </c>
      <c r="AI20" s="2" t="s">
        <v>36</v>
      </c>
      <c r="AJ20" s="2" t="s">
        <v>37</v>
      </c>
      <c r="AK20" s="2" t="s">
        <v>38</v>
      </c>
      <c r="AL20" s="2" t="s">
        <v>39</v>
      </c>
      <c r="AM20" s="2" t="s">
        <v>40</v>
      </c>
      <c r="AN20" s="2" t="s">
        <v>41</v>
      </c>
      <c r="AO20" s="2" t="s">
        <v>42</v>
      </c>
      <c r="AP20" s="2" t="s">
        <v>43</v>
      </c>
      <c r="AQ20" s="2" t="s">
        <v>44</v>
      </c>
      <c r="AR20" s="2" t="s">
        <v>45</v>
      </c>
      <c r="AS20" s="2" t="s">
        <v>46</v>
      </c>
      <c r="AT20" s="2" t="s">
        <v>47</v>
      </c>
      <c r="AU20" s="2" t="s">
        <v>48</v>
      </c>
      <c r="AV20" s="2" t="s">
        <v>49</v>
      </c>
      <c r="AW20" s="2" t="s">
        <v>50</v>
      </c>
      <c r="AX20" s="2" t="s">
        <v>51</v>
      </c>
      <c r="AY20" s="2" t="s">
        <v>52</v>
      </c>
      <c r="AZ20" s="2" t="s">
        <v>53</v>
      </c>
      <c r="BA20" s="2" t="s">
        <v>54</v>
      </c>
      <c r="BB20" s="2" t="s">
        <v>55</v>
      </c>
      <c r="BC20" s="2" t="s">
        <v>56</v>
      </c>
      <c r="BD20" s="2" t="s">
        <v>57</v>
      </c>
      <c r="BG20" s="2" t="s">
        <v>585</v>
      </c>
    </row>
    <row r="21" spans="1:59" x14ac:dyDescent="0.25">
      <c r="Q21">
        <f>IF(ISBLANK(BoardBTB!Q21),-1,(COUNTIF(U21:BD21,4)*4+IF(COUNTIF(U21:BD21,2),1,0)*2+IF(COUNTIF(U21:BD21,1),1,0)))</f>
        <v>-1</v>
      </c>
      <c r="R21">
        <f>IF(ISBLANK(BoardBTB!R21),-1,(COUNTIF(U21:BD21,4)*4+IF(COUNTIF(U21:BD21,2),1,0)*2+IF(COUNTIF(U21:BD21,1),1,0)))</f>
        <v>-1</v>
      </c>
      <c r="S21">
        <f>IF(ISBLANK(BoardBTB!S21),-1,(COUNTIF(U21:BD21,4)*4+IF(COUNTIF(U21:BD21,2),1,0)*2+IF(COUNTIF(U21:BD21,1),1,0)))</f>
        <v>-1</v>
      </c>
      <c r="T21">
        <f ca="1">IF(ISBLANK(BoardBTB!T21),-1,(COUNTIF(U21:BD21,4)*4+IF(COUNTIF(U21:BD21,2),1,0)*2+IF(COUNTIF(U21:BD21,1),1,0)))</f>
        <v>0</v>
      </c>
      <c r="U21" cm="1">
        <f t="array" aca="1" ref="U21" ca="1">GetPin_RA8D1_32SD_MIPI</f>
        <v>0</v>
      </c>
      <c r="V21" cm="1">
        <f t="array" aca="1" ref="V21" ca="1">GetPin_RA8D1_32SD_MIPI</f>
        <v>0</v>
      </c>
      <c r="W21" cm="1">
        <f t="array" aca="1" ref="W21" ca="1">GetPin_RA8D1_32SD_MIPI</f>
        <v>0</v>
      </c>
      <c r="X21" cm="1">
        <f t="array" aca="1" ref="X21" ca="1">GetPin_RA8D1_32SD_MIPI</f>
        <v>0</v>
      </c>
      <c r="Y21" cm="1">
        <f t="array" aca="1" ref="Y21" ca="1">GetPin_RA8D1_32SD_MIPI</f>
        <v>0</v>
      </c>
      <c r="Z21" cm="1">
        <f t="array" aca="1" ref="Z21" ca="1">GetPin_RA8D1_32SD_MIPI</f>
        <v>0</v>
      </c>
      <c r="AA21" cm="1">
        <f t="array" aca="1" ref="AA21" ca="1">GetPin_RA8D1_32SD_MIPI</f>
        <v>0</v>
      </c>
      <c r="AB21" cm="1">
        <f t="array" aca="1" ref="AB21" ca="1">GetPin_RA8D1_32SD_MIPI</f>
        <v>0</v>
      </c>
      <c r="AC21" cm="1">
        <f t="array" aca="1" ref="AC21" ca="1">GetPin_RA8D1_32SD_MIPI</f>
        <v>0</v>
      </c>
      <c r="AD21" cm="1">
        <f t="array" aca="1" ref="AD21" ca="1">GetPin_RA8D1_32SD_MIPI</f>
        <v>0</v>
      </c>
      <c r="AE21" cm="1">
        <f t="array" aca="1" ref="AE21" ca="1">GetPin_RA8D1_32SD_MIPI</f>
        <v>0</v>
      </c>
      <c r="AF21" cm="1">
        <f t="array" aca="1" ref="AF21" ca="1">GetPin_RA8D1_32SD_MIPI</f>
        <v>0</v>
      </c>
      <c r="AG21" cm="1">
        <f t="array" aca="1" ref="AG21" ca="1">GetPin_RA8D1_32SD_MIPI</f>
        <v>0</v>
      </c>
      <c r="AH21" cm="1">
        <f t="array" aca="1" ref="AH21" ca="1">GetPin_RA8D1_32SD_MIPI</f>
        <v>0</v>
      </c>
      <c r="AI21" cm="1">
        <f t="array" aca="1" ref="AI21" ca="1">GetPin_RA8D1_32SD_MIPI</f>
        <v>0</v>
      </c>
      <c r="AJ21" cm="1">
        <f t="array" aca="1" ref="AJ21" ca="1">GetPin_RA8D1_32SD_MIPI</f>
        <v>0</v>
      </c>
      <c r="AK21" cm="1">
        <f t="array" aca="1" ref="AK21" ca="1">GetPin_RA8D1_32SD_MIPI</f>
        <v>0</v>
      </c>
      <c r="AL21" cm="1">
        <f t="array" aca="1" ref="AL21" ca="1">GetPin_RA8D1_32SD_MIPI</f>
        <v>0</v>
      </c>
      <c r="AM21" cm="1">
        <f t="array" aca="1" ref="AM21" ca="1">GetPin_RA8D1_32SD_MIPI</f>
        <v>0</v>
      </c>
      <c r="AN21" cm="1">
        <f t="array" aca="1" ref="AN21" ca="1">GetPin_RA8D1_32SD_MIPI</f>
        <v>0</v>
      </c>
      <c r="AO21" cm="1">
        <f t="array" aca="1" ref="AO21" ca="1">GetPin_RA8D1_32SD_MIPI</f>
        <v>0</v>
      </c>
      <c r="AP21" cm="1">
        <f t="array" aca="1" ref="AP21" ca="1">GetPin_RA8D1_32SD_MIPI</f>
        <v>0</v>
      </c>
      <c r="AQ21" cm="1">
        <f t="array" aca="1" ref="AQ21" ca="1">GetPin_RA8D1_32SD_MIPI</f>
        <v>0</v>
      </c>
      <c r="AR21" cm="1">
        <f t="array" aca="1" ref="AR21" ca="1">GetPin_RA8D1_32SD_MIPI</f>
        <v>0</v>
      </c>
      <c r="AS21" cm="1">
        <f t="array" aca="1" ref="AS21" ca="1">GetPin_RA8D1_32SD_MIPI</f>
        <v>0</v>
      </c>
      <c r="AT21" cm="1">
        <f t="array" aca="1" ref="AT21" ca="1">GetPin_RA8D1_32SD_MIPI</f>
        <v>0</v>
      </c>
      <c r="AU21" cm="1">
        <f t="array" aca="1" ref="AU21" ca="1">GetPin_RA8D1_32SD_MIPI</f>
        <v>0</v>
      </c>
      <c r="AV21" cm="1">
        <f t="array" aca="1" ref="AV21" ca="1">GetPin_RA8D1_32SD_MIPI</f>
        <v>0</v>
      </c>
      <c r="AW21" cm="1">
        <f t="array" aca="1" ref="AW21" ca="1">GetPin_RA8D1_32SD_MIPI</f>
        <v>0</v>
      </c>
      <c r="AX21" cm="1">
        <f t="array" aca="1" ref="AX21" ca="1">GetPin_RA8D1_32SD_MIPI</f>
        <v>0</v>
      </c>
      <c r="AY21" cm="1">
        <f t="array" aca="1" ref="AY21" ca="1">GetPin_RA8D1_32SD_MIPI</f>
        <v>0</v>
      </c>
      <c r="AZ21" cm="1">
        <f t="array" aca="1" ref="AZ21" ca="1">GetPin_RA8D1_32SD_MIPI</f>
        <v>0</v>
      </c>
      <c r="BA21" cm="1">
        <f t="array" aca="1" ref="BA21" ca="1">GetPin_RA8D1_32SD_MIPI</f>
        <v>0</v>
      </c>
      <c r="BB21" cm="1">
        <f t="array" aca="1" ref="BB21" ca="1">GetPin_RA8D1_32SD_MIPI</f>
        <v>0</v>
      </c>
      <c r="BC21" cm="1">
        <f t="array" aca="1" ref="BC21" ca="1">GetPin_RA8D1_32SD_MIPI</f>
        <v>0</v>
      </c>
      <c r="BD21" cm="1">
        <f t="array" aca="1" ref="BD21" ca="1">GetPin_RA8D1_32SD_MIPI</f>
        <v>0</v>
      </c>
      <c r="BG21">
        <v>1</v>
      </c>
    </row>
    <row r="22" spans="1:59" x14ac:dyDescent="0.25">
      <c r="Q22">
        <f>IF(ISBLANK(BoardBTB!Q22),-1,(COUNTIF(U22:BD22,4)*4+IF(COUNTIF(U22:BD22,2),1,0)*2+IF(COUNTIF(U22:BD22,1),1,0)))</f>
        <v>-1</v>
      </c>
      <c r="R22">
        <f>IF(ISBLANK(BoardBTB!R22),-1,(COUNTIF(U22:BD22,4)*4+IF(COUNTIF(U22:BD22,2),1,0)*2+IF(COUNTIF(U22:BD22,1),1,0)))</f>
        <v>-1</v>
      </c>
      <c r="S22">
        <f>IF(ISBLANK(BoardBTB!S22),-1,(COUNTIF(U22:BD22,4)*4+IF(COUNTIF(U22:BD22,2),1,0)*2+IF(COUNTIF(U22:BD22,1),1,0)))</f>
        <v>-1</v>
      </c>
      <c r="T22">
        <f ca="1">IF(ISBLANK(BoardBTB!T22),-1,(COUNTIF(U22:BD22,4)*4+IF(COUNTIF(U22:BD22,2),1,0)*2+IF(COUNTIF(U22:BD22,1),1,0)))</f>
        <v>4</v>
      </c>
      <c r="U22" cm="1">
        <f t="array" aca="1" ref="U22" ca="1">GetPin_RA8D1_32SD_MIPI</f>
        <v>0</v>
      </c>
      <c r="V22" cm="1">
        <f t="array" aca="1" ref="V22" ca="1">GetPin_RA8D1_32SD_MIPI</f>
        <v>0</v>
      </c>
      <c r="W22" cm="1">
        <f t="array" aca="1" ref="W22" ca="1">GetPin_RA8D1_32SD_MIPI</f>
        <v>0</v>
      </c>
      <c r="X22" cm="1">
        <f t="array" aca="1" ref="X22" ca="1">GetPin_RA8D1_32SD_MIPI</f>
        <v>0</v>
      </c>
      <c r="Y22" cm="1">
        <f t="array" aca="1" ref="Y22" ca="1">GetPin_RA8D1_32SD_MIPI</f>
        <v>0</v>
      </c>
      <c r="Z22" cm="1">
        <f t="array" aca="1" ref="Z22" ca="1">GetPin_RA8D1_32SD_MIPI</f>
        <v>0</v>
      </c>
      <c r="AA22" cm="1">
        <f t="array" aca="1" ref="AA22" ca="1">GetPin_RA8D1_32SD_MIPI</f>
        <v>0</v>
      </c>
      <c r="AB22" cm="1">
        <f t="array" aca="1" ref="AB22" ca="1">GetPin_RA8D1_32SD_MIPI</f>
        <v>0</v>
      </c>
      <c r="AC22" cm="1">
        <f t="array" aca="1" ref="AC22" ca="1">GetPin_RA8D1_32SD_MIPI</f>
        <v>0</v>
      </c>
      <c r="AD22" cm="1">
        <f t="array" aca="1" ref="AD22" ca="1">GetPin_RA8D1_32SD_MIPI</f>
        <v>0</v>
      </c>
      <c r="AE22" cm="1">
        <f t="array" aca="1" ref="AE22" ca="1">GetPin_RA8D1_32SD_MIPI</f>
        <v>0</v>
      </c>
      <c r="AF22" cm="1">
        <f t="array" aca="1" ref="AF22" ca="1">GetPin_RA8D1_32SD_MIPI</f>
        <v>0</v>
      </c>
      <c r="AG22" cm="1">
        <f t="array" aca="1" ref="AG22" ca="1">GetPin_RA8D1_32SD_MIPI</f>
        <v>4</v>
      </c>
      <c r="AH22" cm="1">
        <f t="array" aca="1" ref="AH22" ca="1">GetPin_RA8D1_32SD_MIPI</f>
        <v>0</v>
      </c>
      <c r="AI22" cm="1">
        <f t="array" aca="1" ref="AI22" ca="1">GetPin_RA8D1_32SD_MIPI</f>
        <v>0</v>
      </c>
      <c r="AJ22" cm="1">
        <f t="array" aca="1" ref="AJ22" ca="1">GetPin_RA8D1_32SD_MIPI</f>
        <v>0</v>
      </c>
      <c r="AK22" cm="1">
        <f t="array" aca="1" ref="AK22" ca="1">GetPin_RA8D1_32SD_MIPI</f>
        <v>0</v>
      </c>
      <c r="AL22" cm="1">
        <f t="array" aca="1" ref="AL22" ca="1">GetPin_RA8D1_32SD_MIPI</f>
        <v>0</v>
      </c>
      <c r="AM22" cm="1">
        <f t="array" aca="1" ref="AM22" ca="1">GetPin_RA8D1_32SD_MIPI</f>
        <v>0</v>
      </c>
      <c r="AN22" cm="1">
        <f t="array" aca="1" ref="AN22" ca="1">GetPin_RA8D1_32SD_MIPI</f>
        <v>0</v>
      </c>
      <c r="AO22" cm="1">
        <f t="array" aca="1" ref="AO22" ca="1">GetPin_RA8D1_32SD_MIPI</f>
        <v>0</v>
      </c>
      <c r="AP22" cm="1">
        <f t="array" aca="1" ref="AP22" ca="1">GetPin_RA8D1_32SD_MIPI</f>
        <v>0</v>
      </c>
      <c r="AQ22" cm="1">
        <f t="array" aca="1" ref="AQ22" ca="1">GetPin_RA8D1_32SD_MIPI</f>
        <v>0</v>
      </c>
      <c r="AR22" cm="1">
        <f t="array" aca="1" ref="AR22" ca="1">GetPin_RA8D1_32SD_MIPI</f>
        <v>0</v>
      </c>
      <c r="AS22" cm="1">
        <f t="array" aca="1" ref="AS22" ca="1">GetPin_RA8D1_32SD_MIPI</f>
        <v>0</v>
      </c>
      <c r="AT22" cm="1">
        <f t="array" aca="1" ref="AT22" ca="1">GetPin_RA8D1_32SD_MIPI</f>
        <v>0</v>
      </c>
      <c r="AU22" cm="1">
        <f t="array" aca="1" ref="AU22" ca="1">GetPin_RA8D1_32SD_MIPI</f>
        <v>0</v>
      </c>
      <c r="AV22" cm="1">
        <f t="array" aca="1" ref="AV22" ca="1">GetPin_RA8D1_32SD_MIPI</f>
        <v>0</v>
      </c>
      <c r="AW22" cm="1">
        <f t="array" aca="1" ref="AW22" ca="1">GetPin_RA8D1_32SD_MIPI</f>
        <v>0</v>
      </c>
      <c r="AX22" cm="1">
        <f t="array" aca="1" ref="AX22" ca="1">GetPin_RA8D1_32SD_MIPI</f>
        <v>0</v>
      </c>
      <c r="AY22" cm="1">
        <f t="array" aca="1" ref="AY22" ca="1">GetPin_RA8D1_32SD_MIPI</f>
        <v>0</v>
      </c>
      <c r="AZ22" cm="1">
        <f t="array" aca="1" ref="AZ22" ca="1">GetPin_RA8D1_32SD_MIPI</f>
        <v>0</v>
      </c>
      <c r="BA22" cm="1">
        <f t="array" aca="1" ref="BA22" ca="1">GetPin_RA8D1_32SD_MIPI</f>
        <v>0</v>
      </c>
      <c r="BB22" cm="1">
        <f t="array" aca="1" ref="BB22" ca="1">GetPin_RA8D1_32SD_MIPI</f>
        <v>0</v>
      </c>
      <c r="BC22" cm="1">
        <f t="array" aca="1" ref="BC22" ca="1">GetPin_RA8D1_32SD_MIPI</f>
        <v>0</v>
      </c>
      <c r="BD22" cm="1">
        <f t="array" aca="1" ref="BD22" ca="1">GetPin_RA8D1_32SD_MIPI</f>
        <v>0</v>
      </c>
      <c r="BG22">
        <v>2</v>
      </c>
    </row>
    <row r="23" spans="1:59" x14ac:dyDescent="0.25">
      <c r="Q23">
        <f>IF(ISBLANK(BoardBTB!Q23),-1,(COUNTIF(U23:BD23,4)*4+IF(COUNTIF(U23:BD23,2),1,0)*2+IF(COUNTIF(U23:BD23,1),1,0)))</f>
        <v>-1</v>
      </c>
      <c r="R23">
        <f>IF(ISBLANK(BoardBTB!R23),-1,(COUNTIF(U23:BD23,4)*4+IF(COUNTIF(U23:BD23,2),1,0)*2+IF(COUNTIF(U23:BD23,1),1,0)))</f>
        <v>-1</v>
      </c>
      <c r="S23">
        <f>IF(ISBLANK(BoardBTB!S23),-1,(COUNTIF(U23:BD23,4)*4+IF(COUNTIF(U23:BD23,2),1,0)*2+IF(COUNTIF(U23:BD23,1),1,0)))</f>
        <v>-1</v>
      </c>
      <c r="T23">
        <f ca="1">IF(ISBLANK(BoardBTB!T23),-1,(COUNTIF(U23:BD23,4)*4+IF(COUNTIF(U23:BD23,2),1,0)*2+IF(COUNTIF(U23:BD23,1),1,0)))</f>
        <v>4</v>
      </c>
      <c r="U23" cm="1">
        <f t="array" aca="1" ref="U23" ca="1">GetPin_RA8D1_32SD_MIPI</f>
        <v>0</v>
      </c>
      <c r="V23" cm="1">
        <f t="array" aca="1" ref="V23" ca="1">GetPin_RA8D1_32SD_MIPI</f>
        <v>0</v>
      </c>
      <c r="W23" cm="1">
        <f t="array" aca="1" ref="W23" ca="1">GetPin_RA8D1_32SD_MIPI</f>
        <v>0</v>
      </c>
      <c r="X23" cm="1">
        <f t="array" aca="1" ref="X23" ca="1">GetPin_RA8D1_32SD_MIPI</f>
        <v>0</v>
      </c>
      <c r="Y23" cm="1">
        <f t="array" aca="1" ref="Y23" ca="1">GetPin_RA8D1_32SD_MIPI</f>
        <v>0</v>
      </c>
      <c r="Z23" cm="1">
        <f t="array" aca="1" ref="Z23" ca="1">GetPin_RA8D1_32SD_MIPI</f>
        <v>0</v>
      </c>
      <c r="AA23" cm="1">
        <f t="array" aca="1" ref="AA23" ca="1">GetPin_RA8D1_32SD_MIPI</f>
        <v>0</v>
      </c>
      <c r="AB23" cm="1">
        <f t="array" aca="1" ref="AB23" ca="1">GetPin_RA8D1_32SD_MIPI</f>
        <v>0</v>
      </c>
      <c r="AC23" cm="1">
        <f t="array" aca="1" ref="AC23" ca="1">GetPin_RA8D1_32SD_MIPI</f>
        <v>0</v>
      </c>
      <c r="AD23" cm="1">
        <f t="array" aca="1" ref="AD23" ca="1">GetPin_RA8D1_32SD_MIPI</f>
        <v>0</v>
      </c>
      <c r="AE23" cm="1">
        <f t="array" aca="1" ref="AE23" ca="1">GetPin_RA8D1_32SD_MIPI</f>
        <v>0</v>
      </c>
      <c r="AF23" cm="1">
        <f t="array" aca="1" ref="AF23" ca="1">GetPin_RA8D1_32SD_MIPI</f>
        <v>0</v>
      </c>
      <c r="AG23" cm="1">
        <f t="array" aca="1" ref="AG23" ca="1">GetPin_RA8D1_32SD_MIPI</f>
        <v>4</v>
      </c>
      <c r="AH23" cm="1">
        <f t="array" aca="1" ref="AH23" ca="1">GetPin_RA8D1_32SD_MIPI</f>
        <v>0</v>
      </c>
      <c r="AI23" cm="1">
        <f t="array" aca="1" ref="AI23" ca="1">GetPin_RA8D1_32SD_MIPI</f>
        <v>0</v>
      </c>
      <c r="AJ23" cm="1">
        <f t="array" aca="1" ref="AJ23" ca="1">GetPin_RA8D1_32SD_MIPI</f>
        <v>0</v>
      </c>
      <c r="AK23" cm="1">
        <f t="array" aca="1" ref="AK23" ca="1">GetPin_RA8D1_32SD_MIPI</f>
        <v>0</v>
      </c>
      <c r="AL23" cm="1">
        <f t="array" aca="1" ref="AL23" ca="1">GetPin_RA8D1_32SD_MIPI</f>
        <v>0</v>
      </c>
      <c r="AM23" cm="1">
        <f t="array" aca="1" ref="AM23" ca="1">GetPin_RA8D1_32SD_MIPI</f>
        <v>0</v>
      </c>
      <c r="AN23" cm="1">
        <f t="array" aca="1" ref="AN23" ca="1">GetPin_RA8D1_32SD_MIPI</f>
        <v>0</v>
      </c>
      <c r="AO23" cm="1">
        <f t="array" aca="1" ref="AO23" ca="1">GetPin_RA8D1_32SD_MIPI</f>
        <v>0</v>
      </c>
      <c r="AP23" cm="1">
        <f t="array" aca="1" ref="AP23" ca="1">GetPin_RA8D1_32SD_MIPI</f>
        <v>0</v>
      </c>
      <c r="AQ23" cm="1">
        <f t="array" aca="1" ref="AQ23" ca="1">GetPin_RA8D1_32SD_MIPI</f>
        <v>0</v>
      </c>
      <c r="AR23" cm="1">
        <f t="array" aca="1" ref="AR23" ca="1">GetPin_RA8D1_32SD_MIPI</f>
        <v>0</v>
      </c>
      <c r="AS23" cm="1">
        <f t="array" aca="1" ref="AS23" ca="1">GetPin_RA8D1_32SD_MIPI</f>
        <v>0</v>
      </c>
      <c r="AT23" cm="1">
        <f t="array" aca="1" ref="AT23" ca="1">GetPin_RA8D1_32SD_MIPI</f>
        <v>0</v>
      </c>
      <c r="AU23" cm="1">
        <f t="array" aca="1" ref="AU23" ca="1">GetPin_RA8D1_32SD_MIPI</f>
        <v>0</v>
      </c>
      <c r="AV23" cm="1">
        <f t="array" aca="1" ref="AV23" ca="1">GetPin_RA8D1_32SD_MIPI</f>
        <v>0</v>
      </c>
      <c r="AW23" cm="1">
        <f t="array" aca="1" ref="AW23" ca="1">GetPin_RA8D1_32SD_MIPI</f>
        <v>0</v>
      </c>
      <c r="AX23" cm="1">
        <f t="array" aca="1" ref="AX23" ca="1">GetPin_RA8D1_32SD_MIPI</f>
        <v>0</v>
      </c>
      <c r="AY23" cm="1">
        <f t="array" aca="1" ref="AY23" ca="1">GetPin_RA8D1_32SD_MIPI</f>
        <v>0</v>
      </c>
      <c r="AZ23" cm="1">
        <f t="array" aca="1" ref="AZ23" ca="1">GetPin_RA8D1_32SD_MIPI</f>
        <v>0</v>
      </c>
      <c r="BA23" cm="1">
        <f t="array" aca="1" ref="BA23" ca="1">GetPin_RA8D1_32SD_MIPI</f>
        <v>0</v>
      </c>
      <c r="BB23" cm="1">
        <f t="array" aca="1" ref="BB23" ca="1">GetPin_RA8D1_32SD_MIPI</f>
        <v>0</v>
      </c>
      <c r="BC23" cm="1">
        <f t="array" aca="1" ref="BC23" ca="1">GetPin_RA8D1_32SD_MIPI</f>
        <v>0</v>
      </c>
      <c r="BD23" cm="1">
        <f t="array" aca="1" ref="BD23" ca="1">GetPin_RA8D1_32SD_MIPI</f>
        <v>0</v>
      </c>
      <c r="BG23">
        <v>3</v>
      </c>
    </row>
    <row r="24" spans="1:59" x14ac:dyDescent="0.25">
      <c r="Q24">
        <f>IF(ISBLANK(BoardBTB!Q24),-1,(COUNTIF(U24:BD24,4)*4+IF(COUNTIF(U24:BD24,2),1,0)*2+IF(COUNTIF(U24:BD24,1),1,0)))</f>
        <v>-1</v>
      </c>
      <c r="R24">
        <f>IF(ISBLANK(BoardBTB!R24),-1,(COUNTIF(U24:BD24,4)*4+IF(COUNTIF(U24:BD24,2),1,0)*2+IF(COUNTIF(U24:BD24,1),1,0)))</f>
        <v>-1</v>
      </c>
      <c r="S24">
        <f>IF(ISBLANK(BoardBTB!S24),-1,(COUNTIF(U24:BD24,4)*4+IF(COUNTIF(U24:BD24,2),1,0)*2+IF(COUNTIF(U24:BD24,1),1,0)))</f>
        <v>-1</v>
      </c>
      <c r="T24">
        <f ca="1">IF(ISBLANK(BoardBTB!T24),-1,(COUNTIF(U24:BD24,4)*4+IF(COUNTIF(U24:BD24,2),1,0)*2+IF(COUNTIF(U24:BD24,1),1,0)))</f>
        <v>0</v>
      </c>
      <c r="U24" cm="1">
        <f t="array" aca="1" ref="U24" ca="1">GetPin_RA8D1_32SD_MIPI</f>
        <v>0</v>
      </c>
      <c r="V24" cm="1">
        <f t="array" aca="1" ref="V24" ca="1">GetPin_RA8D1_32SD_MIPI</f>
        <v>0</v>
      </c>
      <c r="W24" cm="1">
        <f t="array" aca="1" ref="W24" ca="1">GetPin_RA8D1_32SD_MIPI</f>
        <v>0</v>
      </c>
      <c r="X24" cm="1">
        <f t="array" aca="1" ref="X24" ca="1">GetPin_RA8D1_32SD_MIPI</f>
        <v>0</v>
      </c>
      <c r="Y24" cm="1">
        <f t="array" aca="1" ref="Y24" ca="1">GetPin_RA8D1_32SD_MIPI</f>
        <v>0</v>
      </c>
      <c r="Z24" cm="1">
        <f t="array" aca="1" ref="Z24" ca="1">GetPin_RA8D1_32SD_MIPI</f>
        <v>0</v>
      </c>
      <c r="AA24" cm="1">
        <f t="array" aca="1" ref="AA24" ca="1">GetPin_RA8D1_32SD_MIPI</f>
        <v>0</v>
      </c>
      <c r="AB24" cm="1">
        <f t="array" aca="1" ref="AB24" ca="1">GetPin_RA8D1_32SD_MIPI</f>
        <v>0</v>
      </c>
      <c r="AC24" cm="1">
        <f t="array" aca="1" ref="AC24" ca="1">GetPin_RA8D1_32SD_MIPI</f>
        <v>0</v>
      </c>
      <c r="AD24" cm="1">
        <f t="array" aca="1" ref="AD24" ca="1">GetPin_RA8D1_32SD_MIPI</f>
        <v>0</v>
      </c>
      <c r="AE24" cm="1">
        <f t="array" aca="1" ref="AE24" ca="1">GetPin_RA8D1_32SD_MIPI</f>
        <v>0</v>
      </c>
      <c r="AF24" cm="1">
        <f t="array" aca="1" ref="AF24" ca="1">GetPin_RA8D1_32SD_MIPI</f>
        <v>0</v>
      </c>
      <c r="AG24" cm="1">
        <f t="array" aca="1" ref="AG24" ca="1">GetPin_RA8D1_32SD_MIPI</f>
        <v>0</v>
      </c>
      <c r="AH24" cm="1">
        <f t="array" aca="1" ref="AH24" ca="1">GetPin_RA8D1_32SD_MIPI</f>
        <v>0</v>
      </c>
      <c r="AI24" cm="1">
        <f t="array" aca="1" ref="AI24" ca="1">GetPin_RA8D1_32SD_MIPI</f>
        <v>0</v>
      </c>
      <c r="AJ24" cm="1">
        <f t="array" aca="1" ref="AJ24" ca="1">GetPin_RA8D1_32SD_MIPI</f>
        <v>0</v>
      </c>
      <c r="AK24" cm="1">
        <f t="array" aca="1" ref="AK24" ca="1">GetPin_RA8D1_32SD_MIPI</f>
        <v>0</v>
      </c>
      <c r="AL24" cm="1">
        <f t="array" aca="1" ref="AL24" ca="1">GetPin_RA8D1_32SD_MIPI</f>
        <v>0</v>
      </c>
      <c r="AM24" cm="1">
        <f t="array" aca="1" ref="AM24" ca="1">GetPin_RA8D1_32SD_MIPI</f>
        <v>0</v>
      </c>
      <c r="AN24" cm="1">
        <f t="array" aca="1" ref="AN24" ca="1">GetPin_RA8D1_32SD_MIPI</f>
        <v>0</v>
      </c>
      <c r="AO24" cm="1">
        <f t="array" aca="1" ref="AO24" ca="1">GetPin_RA8D1_32SD_MIPI</f>
        <v>0</v>
      </c>
      <c r="AP24" cm="1">
        <f t="array" aca="1" ref="AP24" ca="1">GetPin_RA8D1_32SD_MIPI</f>
        <v>0</v>
      </c>
      <c r="AQ24" cm="1">
        <f t="array" aca="1" ref="AQ24" ca="1">GetPin_RA8D1_32SD_MIPI</f>
        <v>0</v>
      </c>
      <c r="AR24" cm="1">
        <f t="array" aca="1" ref="AR24" ca="1">GetPin_RA8D1_32SD_MIPI</f>
        <v>0</v>
      </c>
      <c r="AS24" cm="1">
        <f t="array" aca="1" ref="AS24" ca="1">GetPin_RA8D1_32SD_MIPI</f>
        <v>0</v>
      </c>
      <c r="AT24" cm="1">
        <f t="array" aca="1" ref="AT24" ca="1">GetPin_RA8D1_32SD_MIPI</f>
        <v>0</v>
      </c>
      <c r="AU24" cm="1">
        <f t="array" aca="1" ref="AU24" ca="1">GetPin_RA8D1_32SD_MIPI</f>
        <v>0</v>
      </c>
      <c r="AV24" cm="1">
        <f t="array" aca="1" ref="AV24" ca="1">GetPin_RA8D1_32SD_MIPI</f>
        <v>0</v>
      </c>
      <c r="AW24" cm="1">
        <f t="array" aca="1" ref="AW24" ca="1">GetPin_RA8D1_32SD_MIPI</f>
        <v>0</v>
      </c>
      <c r="AX24" cm="1">
        <f t="array" aca="1" ref="AX24" ca="1">GetPin_RA8D1_32SD_MIPI</f>
        <v>0</v>
      </c>
      <c r="AY24" cm="1">
        <f t="array" aca="1" ref="AY24" ca="1">GetPin_RA8D1_32SD_MIPI</f>
        <v>0</v>
      </c>
      <c r="AZ24" cm="1">
        <f t="array" aca="1" ref="AZ24" ca="1">GetPin_RA8D1_32SD_MIPI</f>
        <v>0</v>
      </c>
      <c r="BA24" cm="1">
        <f t="array" aca="1" ref="BA24" ca="1">GetPin_RA8D1_32SD_MIPI</f>
        <v>0</v>
      </c>
      <c r="BB24" cm="1">
        <f t="array" aca="1" ref="BB24" ca="1">GetPin_RA8D1_32SD_MIPI</f>
        <v>0</v>
      </c>
      <c r="BC24" cm="1">
        <f t="array" aca="1" ref="BC24" ca="1">GetPin_RA8D1_32SD_MIPI</f>
        <v>0</v>
      </c>
      <c r="BD24" cm="1">
        <f t="array" aca="1" ref="BD24" ca="1">GetPin_RA8D1_32SD_MIPI</f>
        <v>0</v>
      </c>
      <c r="BG24">
        <v>4</v>
      </c>
    </row>
    <row r="25" spans="1:59" x14ac:dyDescent="0.25">
      <c r="Q25">
        <f>IF(ISBLANK(BoardBTB!Q25),-1,(COUNTIF(U25:BD25,4)*4+IF(COUNTIF(U25:BD25,2),1,0)*2+IF(COUNTIF(U25:BD25,1),1,0)))</f>
        <v>-1</v>
      </c>
      <c r="R25">
        <f>IF(ISBLANK(BoardBTB!R25),-1,(COUNTIF(U25:BD25,4)*4+IF(COUNTIF(U25:BD25,2),1,0)*2+IF(COUNTIF(U25:BD25,1),1,0)))</f>
        <v>-1</v>
      </c>
      <c r="S25">
        <f>IF(ISBLANK(BoardBTB!S25),-1,(COUNTIF(U25:BD25,4)*4+IF(COUNTIF(U25:BD25,2),1,0)*2+IF(COUNTIF(U25:BD25,1),1,0)))</f>
        <v>-1</v>
      </c>
      <c r="T25">
        <f ca="1">IF(ISBLANK(BoardBTB!T25),-1,(COUNTIF(U25:BD25,4)*4+IF(COUNTIF(U25:BD25,2),1,0)*2+IF(COUNTIF(U25:BD25,1),1,0)))</f>
        <v>0</v>
      </c>
      <c r="U25" cm="1">
        <f t="array" aca="1" ref="U25" ca="1">GetPin_RA8D1_32SD_MIPI</f>
        <v>0</v>
      </c>
      <c r="V25" cm="1">
        <f t="array" aca="1" ref="V25" ca="1">GetPin_RA8D1_32SD_MIPI</f>
        <v>0</v>
      </c>
      <c r="W25" cm="1">
        <f t="array" aca="1" ref="W25" ca="1">GetPin_RA8D1_32SD_MIPI</f>
        <v>0</v>
      </c>
      <c r="X25" cm="1">
        <f t="array" aca="1" ref="X25" ca="1">GetPin_RA8D1_32SD_MIPI</f>
        <v>0</v>
      </c>
      <c r="Y25" cm="1">
        <f t="array" aca="1" ref="Y25" ca="1">GetPin_RA8D1_32SD_MIPI</f>
        <v>0</v>
      </c>
      <c r="Z25" cm="1">
        <f t="array" aca="1" ref="Z25" ca="1">GetPin_RA8D1_32SD_MIPI</f>
        <v>0</v>
      </c>
      <c r="AA25" cm="1">
        <f t="array" aca="1" ref="AA25" ca="1">GetPin_RA8D1_32SD_MIPI</f>
        <v>0</v>
      </c>
      <c r="AB25" cm="1">
        <f t="array" aca="1" ref="AB25" ca="1">GetPin_RA8D1_32SD_MIPI</f>
        <v>0</v>
      </c>
      <c r="AC25" cm="1">
        <f t="array" aca="1" ref="AC25" ca="1">GetPin_RA8D1_32SD_MIPI</f>
        <v>0</v>
      </c>
      <c r="AD25" cm="1">
        <f t="array" aca="1" ref="AD25" ca="1">GetPin_RA8D1_32SD_MIPI</f>
        <v>0</v>
      </c>
      <c r="AE25" cm="1">
        <f t="array" aca="1" ref="AE25" ca="1">GetPin_RA8D1_32SD_MIPI</f>
        <v>0</v>
      </c>
      <c r="AF25" cm="1">
        <f t="array" aca="1" ref="AF25" ca="1">GetPin_RA8D1_32SD_MIPI</f>
        <v>0</v>
      </c>
      <c r="AG25" cm="1">
        <f t="array" aca="1" ref="AG25" ca="1">GetPin_RA8D1_32SD_MIPI</f>
        <v>0</v>
      </c>
      <c r="AH25" cm="1">
        <f t="array" aca="1" ref="AH25" ca="1">GetPin_RA8D1_32SD_MIPI</f>
        <v>0</v>
      </c>
      <c r="AI25" cm="1">
        <f t="array" aca="1" ref="AI25" ca="1">GetPin_RA8D1_32SD_MIPI</f>
        <v>0</v>
      </c>
      <c r="AJ25" cm="1">
        <f t="array" aca="1" ref="AJ25" ca="1">GetPin_RA8D1_32SD_MIPI</f>
        <v>0</v>
      </c>
      <c r="AK25" cm="1">
        <f t="array" aca="1" ref="AK25" ca="1">GetPin_RA8D1_32SD_MIPI</f>
        <v>0</v>
      </c>
      <c r="AL25" cm="1">
        <f t="array" aca="1" ref="AL25" ca="1">GetPin_RA8D1_32SD_MIPI</f>
        <v>0</v>
      </c>
      <c r="AM25" cm="1">
        <f t="array" aca="1" ref="AM25" ca="1">GetPin_RA8D1_32SD_MIPI</f>
        <v>0</v>
      </c>
      <c r="AN25" cm="1">
        <f t="array" aca="1" ref="AN25" ca="1">GetPin_RA8D1_32SD_MIPI</f>
        <v>0</v>
      </c>
      <c r="AO25" cm="1">
        <f t="array" aca="1" ref="AO25" ca="1">GetPin_RA8D1_32SD_MIPI</f>
        <v>0</v>
      </c>
      <c r="AP25" cm="1">
        <f t="array" aca="1" ref="AP25" ca="1">GetPin_RA8D1_32SD_MIPI</f>
        <v>0</v>
      </c>
      <c r="AQ25" cm="1">
        <f t="array" aca="1" ref="AQ25" ca="1">GetPin_RA8D1_32SD_MIPI</f>
        <v>0</v>
      </c>
      <c r="AR25" cm="1">
        <f t="array" aca="1" ref="AR25" ca="1">GetPin_RA8D1_32SD_MIPI</f>
        <v>0</v>
      </c>
      <c r="AS25" cm="1">
        <f t="array" aca="1" ref="AS25" ca="1">GetPin_RA8D1_32SD_MIPI</f>
        <v>0</v>
      </c>
      <c r="AT25" cm="1">
        <f t="array" aca="1" ref="AT25" ca="1">GetPin_RA8D1_32SD_MIPI</f>
        <v>0</v>
      </c>
      <c r="AU25" cm="1">
        <f t="array" aca="1" ref="AU25" ca="1">GetPin_RA8D1_32SD_MIPI</f>
        <v>0</v>
      </c>
      <c r="AV25" cm="1">
        <f t="array" aca="1" ref="AV25" ca="1">GetPin_RA8D1_32SD_MIPI</f>
        <v>0</v>
      </c>
      <c r="AW25" cm="1">
        <f t="array" aca="1" ref="AW25" ca="1">GetPin_RA8D1_32SD_MIPI</f>
        <v>0</v>
      </c>
      <c r="AX25" cm="1">
        <f t="array" aca="1" ref="AX25" ca="1">GetPin_RA8D1_32SD_MIPI</f>
        <v>0</v>
      </c>
      <c r="AY25" cm="1">
        <f t="array" aca="1" ref="AY25" ca="1">GetPin_RA8D1_32SD_MIPI</f>
        <v>0</v>
      </c>
      <c r="AZ25" cm="1">
        <f t="array" aca="1" ref="AZ25" ca="1">GetPin_RA8D1_32SD_MIPI</f>
        <v>0</v>
      </c>
      <c r="BA25" cm="1">
        <f t="array" aca="1" ref="BA25" ca="1">GetPin_RA8D1_32SD_MIPI</f>
        <v>0</v>
      </c>
      <c r="BB25" cm="1">
        <f t="array" aca="1" ref="BB25" ca="1">GetPin_RA8D1_32SD_MIPI</f>
        <v>0</v>
      </c>
      <c r="BC25" cm="1">
        <f t="array" aca="1" ref="BC25" ca="1">GetPin_RA8D1_32SD_MIPI</f>
        <v>0</v>
      </c>
      <c r="BD25" cm="1">
        <f t="array" aca="1" ref="BD25" ca="1">GetPin_RA8D1_32SD_MIPI</f>
        <v>0</v>
      </c>
      <c r="BG25">
        <v>5</v>
      </c>
    </row>
    <row r="26" spans="1:59" x14ac:dyDescent="0.25">
      <c r="Q26">
        <f>IF(ISBLANK(BoardBTB!Q26),-1,(COUNTIF(U26:BD26,4)*4+IF(COUNTIF(U26:BD26,2),1,0)*2+IF(COUNTIF(U26:BD26,1),1,0)))</f>
        <v>-1</v>
      </c>
      <c r="R26">
        <f>IF(ISBLANK(BoardBTB!R26),-1,(COUNTIF(U26:BD26,4)*4+IF(COUNTIF(U26:BD26,2),1,0)*2+IF(COUNTIF(U26:BD26,1),1,0)))</f>
        <v>-1</v>
      </c>
      <c r="S26">
        <f>IF(ISBLANK(BoardBTB!S26),-1,(COUNTIF(U26:BD26,4)*4+IF(COUNTIF(U26:BD26,2),1,0)*2+IF(COUNTIF(U26:BD26,1),1,0)))</f>
        <v>-1</v>
      </c>
      <c r="T26">
        <f ca="1">IF(ISBLANK(BoardBTB!T26),-1,(COUNTIF(U26:BD26,4)*4+IF(COUNTIF(U26:BD26,2),1,0)*2+IF(COUNTIF(U26:BD26,1),1,0)))</f>
        <v>4</v>
      </c>
      <c r="U26" cm="1">
        <f t="array" aca="1" ref="U26" ca="1">GetPin_RA8D1_32SD_MIPI</f>
        <v>0</v>
      </c>
      <c r="V26" cm="1">
        <f t="array" aca="1" ref="V26" ca="1">GetPin_RA8D1_32SD_MIPI</f>
        <v>0</v>
      </c>
      <c r="W26" cm="1">
        <f t="array" aca="1" ref="W26" ca="1">GetPin_RA8D1_32SD_MIPI</f>
        <v>0</v>
      </c>
      <c r="X26" cm="1">
        <f t="array" aca="1" ref="X26" ca="1">GetPin_RA8D1_32SD_MIPI</f>
        <v>0</v>
      </c>
      <c r="Y26" cm="1">
        <f t="array" aca="1" ref="Y26" ca="1">GetPin_RA8D1_32SD_MIPI</f>
        <v>0</v>
      </c>
      <c r="Z26" cm="1">
        <f t="array" aca="1" ref="Z26" ca="1">GetPin_RA8D1_32SD_MIPI</f>
        <v>0</v>
      </c>
      <c r="AA26" cm="1">
        <f t="array" aca="1" ref="AA26" ca="1">GetPin_RA8D1_32SD_MIPI</f>
        <v>0</v>
      </c>
      <c r="AB26" cm="1">
        <f t="array" aca="1" ref="AB26" ca="1">GetPin_RA8D1_32SD_MIPI</f>
        <v>0</v>
      </c>
      <c r="AC26" cm="1">
        <f t="array" aca="1" ref="AC26" ca="1">GetPin_RA8D1_32SD_MIPI</f>
        <v>0</v>
      </c>
      <c r="AD26" cm="1">
        <f t="array" aca="1" ref="AD26" ca="1">GetPin_RA8D1_32SD_MIPI</f>
        <v>0</v>
      </c>
      <c r="AE26" cm="1">
        <f t="array" aca="1" ref="AE26" ca="1">GetPin_RA8D1_32SD_MIPI</f>
        <v>0</v>
      </c>
      <c r="AF26" cm="1">
        <f t="array" aca="1" ref="AF26" ca="1">GetPin_RA8D1_32SD_MIPI</f>
        <v>0</v>
      </c>
      <c r="AG26" cm="1">
        <f t="array" aca="1" ref="AG26" ca="1">GetPin_RA8D1_32SD_MIPI</f>
        <v>4</v>
      </c>
      <c r="AH26" cm="1">
        <f t="array" aca="1" ref="AH26" ca="1">GetPin_RA8D1_32SD_MIPI</f>
        <v>0</v>
      </c>
      <c r="AI26" cm="1">
        <f t="array" aca="1" ref="AI26" ca="1">GetPin_RA8D1_32SD_MIPI</f>
        <v>0</v>
      </c>
      <c r="AJ26" cm="1">
        <f t="array" aca="1" ref="AJ26" ca="1">GetPin_RA8D1_32SD_MIPI</f>
        <v>0</v>
      </c>
      <c r="AK26" cm="1">
        <f t="array" aca="1" ref="AK26" ca="1">GetPin_RA8D1_32SD_MIPI</f>
        <v>0</v>
      </c>
      <c r="AL26" cm="1">
        <f t="array" aca="1" ref="AL26" ca="1">GetPin_RA8D1_32SD_MIPI</f>
        <v>0</v>
      </c>
      <c r="AM26" cm="1">
        <f t="array" aca="1" ref="AM26" ca="1">GetPin_RA8D1_32SD_MIPI</f>
        <v>0</v>
      </c>
      <c r="AN26" cm="1">
        <f t="array" aca="1" ref="AN26" ca="1">GetPin_RA8D1_32SD_MIPI</f>
        <v>0</v>
      </c>
      <c r="AO26" cm="1">
        <f t="array" aca="1" ref="AO26" ca="1">GetPin_RA8D1_32SD_MIPI</f>
        <v>0</v>
      </c>
      <c r="AP26" cm="1">
        <f t="array" aca="1" ref="AP26" ca="1">GetPin_RA8D1_32SD_MIPI</f>
        <v>0</v>
      </c>
      <c r="AQ26" cm="1">
        <f t="array" aca="1" ref="AQ26" ca="1">GetPin_RA8D1_32SD_MIPI</f>
        <v>0</v>
      </c>
      <c r="AR26" cm="1">
        <f t="array" aca="1" ref="AR26" ca="1">GetPin_RA8D1_32SD_MIPI</f>
        <v>0</v>
      </c>
      <c r="AS26" cm="1">
        <f t="array" aca="1" ref="AS26" ca="1">GetPin_RA8D1_32SD_MIPI</f>
        <v>0</v>
      </c>
      <c r="AT26" cm="1">
        <f t="array" aca="1" ref="AT26" ca="1">GetPin_RA8D1_32SD_MIPI</f>
        <v>0</v>
      </c>
      <c r="AU26" cm="1">
        <f t="array" aca="1" ref="AU26" ca="1">GetPin_RA8D1_32SD_MIPI</f>
        <v>0</v>
      </c>
      <c r="AV26" cm="1">
        <f t="array" aca="1" ref="AV26" ca="1">GetPin_RA8D1_32SD_MIPI</f>
        <v>0</v>
      </c>
      <c r="AW26" cm="1">
        <f t="array" aca="1" ref="AW26" ca="1">GetPin_RA8D1_32SD_MIPI</f>
        <v>0</v>
      </c>
      <c r="AX26" cm="1">
        <f t="array" aca="1" ref="AX26" ca="1">GetPin_RA8D1_32SD_MIPI</f>
        <v>0</v>
      </c>
      <c r="AY26" cm="1">
        <f t="array" aca="1" ref="AY26" ca="1">GetPin_RA8D1_32SD_MIPI</f>
        <v>0</v>
      </c>
      <c r="AZ26" cm="1">
        <f t="array" aca="1" ref="AZ26" ca="1">GetPin_RA8D1_32SD_MIPI</f>
        <v>0</v>
      </c>
      <c r="BA26" cm="1">
        <f t="array" aca="1" ref="BA26" ca="1">GetPin_RA8D1_32SD_MIPI</f>
        <v>0</v>
      </c>
      <c r="BB26" cm="1">
        <f t="array" aca="1" ref="BB26" ca="1">GetPin_RA8D1_32SD_MIPI</f>
        <v>0</v>
      </c>
      <c r="BC26" cm="1">
        <f t="array" aca="1" ref="BC26" ca="1">GetPin_RA8D1_32SD_MIPI</f>
        <v>0</v>
      </c>
      <c r="BD26" cm="1">
        <f t="array" aca="1" ref="BD26" ca="1">GetPin_RA8D1_32SD_MIPI</f>
        <v>0</v>
      </c>
      <c r="BG26">
        <v>6</v>
      </c>
    </row>
    <row r="27" spans="1:59" x14ac:dyDescent="0.25">
      <c r="Q27">
        <f>IF(ISBLANK(BoardBTB!Q27),-1,(COUNTIF(U27:BD27,4)*4+IF(COUNTIF(U27:BD27,2),1,0)*2+IF(COUNTIF(U27:BD27,1),1,0)))</f>
        <v>-1</v>
      </c>
      <c r="R27">
        <f>IF(ISBLANK(BoardBTB!R27),-1,(COUNTIF(U27:BD27,4)*4+IF(COUNTIF(U27:BD27,2),1,0)*2+IF(COUNTIF(U27:BD27,1),1,0)))</f>
        <v>-1</v>
      </c>
      <c r="S27">
        <f>IF(ISBLANK(BoardBTB!S27),-1,(COUNTIF(U27:BD27,4)*4+IF(COUNTIF(U27:BD27,2),1,0)*2+IF(COUNTIF(U27:BD27,1),1,0)))</f>
        <v>-1</v>
      </c>
      <c r="T27">
        <f ca="1">IF(ISBLANK(BoardBTB!T27),-1,(COUNTIF(U27:BD27,4)*4+IF(COUNTIF(U27:BD27,2),1,0)*2+IF(COUNTIF(U27:BD27,1),1,0)))</f>
        <v>4</v>
      </c>
      <c r="U27" cm="1">
        <f t="array" aca="1" ref="U27" ca="1">GetPin_RA8D1_32SD_MIPI</f>
        <v>0</v>
      </c>
      <c r="V27" cm="1">
        <f t="array" aca="1" ref="V27" ca="1">GetPin_RA8D1_32SD_MIPI</f>
        <v>0</v>
      </c>
      <c r="W27" cm="1">
        <f t="array" aca="1" ref="W27" ca="1">GetPin_RA8D1_32SD_MIPI</f>
        <v>0</v>
      </c>
      <c r="X27" cm="1">
        <f t="array" aca="1" ref="X27" ca="1">GetPin_RA8D1_32SD_MIPI</f>
        <v>0</v>
      </c>
      <c r="Y27" cm="1">
        <f t="array" aca="1" ref="Y27" ca="1">GetPin_RA8D1_32SD_MIPI</f>
        <v>0</v>
      </c>
      <c r="Z27" cm="1">
        <f t="array" aca="1" ref="Z27" ca="1">GetPin_RA8D1_32SD_MIPI</f>
        <v>0</v>
      </c>
      <c r="AA27" cm="1">
        <f t="array" aca="1" ref="AA27" ca="1">GetPin_RA8D1_32SD_MIPI</f>
        <v>0</v>
      </c>
      <c r="AB27" cm="1">
        <f t="array" aca="1" ref="AB27" ca="1">GetPin_RA8D1_32SD_MIPI</f>
        <v>0</v>
      </c>
      <c r="AC27" cm="1">
        <f t="array" aca="1" ref="AC27" ca="1">GetPin_RA8D1_32SD_MIPI</f>
        <v>0</v>
      </c>
      <c r="AD27" cm="1">
        <f t="array" aca="1" ref="AD27" ca="1">GetPin_RA8D1_32SD_MIPI</f>
        <v>0</v>
      </c>
      <c r="AE27" cm="1">
        <f t="array" aca="1" ref="AE27" ca="1">GetPin_RA8D1_32SD_MIPI</f>
        <v>0</v>
      </c>
      <c r="AF27" cm="1">
        <f t="array" aca="1" ref="AF27" ca="1">GetPin_RA8D1_32SD_MIPI</f>
        <v>0</v>
      </c>
      <c r="AG27" cm="1">
        <f t="array" aca="1" ref="AG27" ca="1">GetPin_RA8D1_32SD_MIPI</f>
        <v>4</v>
      </c>
      <c r="AH27" cm="1">
        <f t="array" aca="1" ref="AH27" ca="1">GetPin_RA8D1_32SD_MIPI</f>
        <v>0</v>
      </c>
      <c r="AI27" cm="1">
        <f t="array" aca="1" ref="AI27" ca="1">GetPin_RA8D1_32SD_MIPI</f>
        <v>0</v>
      </c>
      <c r="AJ27" cm="1">
        <f t="array" aca="1" ref="AJ27" ca="1">GetPin_RA8D1_32SD_MIPI</f>
        <v>0</v>
      </c>
      <c r="AK27" cm="1">
        <f t="array" aca="1" ref="AK27" ca="1">GetPin_RA8D1_32SD_MIPI</f>
        <v>0</v>
      </c>
      <c r="AL27" cm="1">
        <f t="array" aca="1" ref="AL27" ca="1">GetPin_RA8D1_32SD_MIPI</f>
        <v>0</v>
      </c>
      <c r="AM27" cm="1">
        <f t="array" aca="1" ref="AM27" ca="1">GetPin_RA8D1_32SD_MIPI</f>
        <v>0</v>
      </c>
      <c r="AN27" cm="1">
        <f t="array" aca="1" ref="AN27" ca="1">GetPin_RA8D1_32SD_MIPI</f>
        <v>0</v>
      </c>
      <c r="AO27" cm="1">
        <f t="array" aca="1" ref="AO27" ca="1">GetPin_RA8D1_32SD_MIPI</f>
        <v>0</v>
      </c>
      <c r="AP27" cm="1">
        <f t="array" aca="1" ref="AP27" ca="1">GetPin_RA8D1_32SD_MIPI</f>
        <v>0</v>
      </c>
      <c r="AQ27" cm="1">
        <f t="array" aca="1" ref="AQ27" ca="1">GetPin_RA8D1_32SD_MIPI</f>
        <v>0</v>
      </c>
      <c r="AR27" cm="1">
        <f t="array" aca="1" ref="AR27" ca="1">GetPin_RA8D1_32SD_MIPI</f>
        <v>0</v>
      </c>
      <c r="AS27" cm="1">
        <f t="array" aca="1" ref="AS27" ca="1">GetPin_RA8D1_32SD_MIPI</f>
        <v>0</v>
      </c>
      <c r="AT27" cm="1">
        <f t="array" aca="1" ref="AT27" ca="1">GetPin_RA8D1_32SD_MIPI</f>
        <v>0</v>
      </c>
      <c r="AU27" cm="1">
        <f t="array" aca="1" ref="AU27" ca="1">GetPin_RA8D1_32SD_MIPI</f>
        <v>0</v>
      </c>
      <c r="AV27" cm="1">
        <f t="array" aca="1" ref="AV27" ca="1">GetPin_RA8D1_32SD_MIPI</f>
        <v>0</v>
      </c>
      <c r="AW27" cm="1">
        <f t="array" aca="1" ref="AW27" ca="1">GetPin_RA8D1_32SD_MIPI</f>
        <v>0</v>
      </c>
      <c r="AX27" cm="1">
        <f t="array" aca="1" ref="AX27" ca="1">GetPin_RA8D1_32SD_MIPI</f>
        <v>0</v>
      </c>
      <c r="AY27" cm="1">
        <f t="array" aca="1" ref="AY27" ca="1">GetPin_RA8D1_32SD_MIPI</f>
        <v>0</v>
      </c>
      <c r="AZ27" cm="1">
        <f t="array" aca="1" ref="AZ27" ca="1">GetPin_RA8D1_32SD_MIPI</f>
        <v>0</v>
      </c>
      <c r="BA27" cm="1">
        <f t="array" aca="1" ref="BA27" ca="1">GetPin_RA8D1_32SD_MIPI</f>
        <v>0</v>
      </c>
      <c r="BB27" cm="1">
        <f t="array" aca="1" ref="BB27" ca="1">GetPin_RA8D1_32SD_MIPI</f>
        <v>0</v>
      </c>
      <c r="BC27" cm="1">
        <f t="array" aca="1" ref="BC27" ca="1">GetPin_RA8D1_32SD_MIPI</f>
        <v>0</v>
      </c>
      <c r="BD27" cm="1">
        <f t="array" aca="1" ref="BD27" ca="1">GetPin_RA8D1_32SD_MIPI</f>
        <v>0</v>
      </c>
      <c r="BG27">
        <v>7</v>
      </c>
    </row>
    <row r="28" spans="1:59" x14ac:dyDescent="0.25">
      <c r="Q28">
        <f>IF(ISBLANK(BoardBTB!Q28),-1,(COUNTIF(U28:BD28,4)*4+IF(COUNTIF(U28:BD28,2),1,0)*2+IF(COUNTIF(U28:BD28,1),1,0)))</f>
        <v>-1</v>
      </c>
      <c r="R28">
        <f>IF(ISBLANK(BoardBTB!R28),-1,(COUNTIF(U28:BD28,4)*4+IF(COUNTIF(U28:BD28,2),1,0)*2+IF(COUNTIF(U28:BD28,1),1,0)))</f>
        <v>-1</v>
      </c>
      <c r="S28">
        <f>IF(ISBLANK(BoardBTB!S28),-1,(COUNTIF(U28:BD28,4)*4+IF(COUNTIF(U28:BD28,2),1,0)*2+IF(COUNTIF(U28:BD28,1),1,0)))</f>
        <v>-1</v>
      </c>
      <c r="T28">
        <f ca="1">IF(ISBLANK(BoardBTB!T28),-1,(COUNTIF(U28:BD28,4)*4+IF(COUNTIF(U28:BD28,2),1,0)*2+IF(COUNTIF(U28:BD28,1),1,0)))</f>
        <v>4</v>
      </c>
      <c r="U28" cm="1">
        <f t="array" aca="1" ref="U28" ca="1">GetPin_RA8D1_32SD_MIPI</f>
        <v>0</v>
      </c>
      <c r="V28" cm="1">
        <f t="array" aca="1" ref="V28" ca="1">GetPin_RA8D1_32SD_MIPI</f>
        <v>0</v>
      </c>
      <c r="W28" cm="1">
        <f t="array" aca="1" ref="W28" ca="1">GetPin_RA8D1_32SD_MIPI</f>
        <v>0</v>
      </c>
      <c r="X28" cm="1">
        <f t="array" aca="1" ref="X28" ca="1">GetPin_RA8D1_32SD_MIPI</f>
        <v>0</v>
      </c>
      <c r="Y28" cm="1">
        <f t="array" aca="1" ref="Y28" ca="1">GetPin_RA8D1_32SD_MIPI</f>
        <v>0</v>
      </c>
      <c r="Z28" cm="1">
        <f t="array" aca="1" ref="Z28" ca="1">GetPin_RA8D1_32SD_MIPI</f>
        <v>0</v>
      </c>
      <c r="AA28" cm="1">
        <f t="array" aca="1" ref="AA28" ca="1">GetPin_RA8D1_32SD_MIPI</f>
        <v>0</v>
      </c>
      <c r="AB28" cm="1">
        <f t="array" aca="1" ref="AB28" ca="1">GetPin_RA8D1_32SD_MIPI</f>
        <v>0</v>
      </c>
      <c r="AC28" cm="1">
        <f t="array" aca="1" ref="AC28" ca="1">GetPin_RA8D1_32SD_MIPI</f>
        <v>0</v>
      </c>
      <c r="AD28" cm="1">
        <f t="array" aca="1" ref="AD28" ca="1">GetPin_RA8D1_32SD_MIPI</f>
        <v>0</v>
      </c>
      <c r="AE28" cm="1">
        <f t="array" aca="1" ref="AE28" ca="1">GetPin_RA8D1_32SD_MIPI</f>
        <v>0</v>
      </c>
      <c r="AF28" cm="1">
        <f t="array" aca="1" ref="AF28" ca="1">GetPin_RA8D1_32SD_MIPI</f>
        <v>0</v>
      </c>
      <c r="AG28" cm="1">
        <f t="array" aca="1" ref="AG28" ca="1">GetPin_RA8D1_32SD_MIPI</f>
        <v>4</v>
      </c>
      <c r="AH28" cm="1">
        <f t="array" aca="1" ref="AH28" ca="1">GetPin_RA8D1_32SD_MIPI</f>
        <v>0</v>
      </c>
      <c r="AI28" cm="1">
        <f t="array" aca="1" ref="AI28" ca="1">GetPin_RA8D1_32SD_MIPI</f>
        <v>0</v>
      </c>
      <c r="AJ28" cm="1">
        <f t="array" aca="1" ref="AJ28" ca="1">GetPin_RA8D1_32SD_MIPI</f>
        <v>0</v>
      </c>
      <c r="AK28" cm="1">
        <f t="array" aca="1" ref="AK28" ca="1">GetPin_RA8D1_32SD_MIPI</f>
        <v>0</v>
      </c>
      <c r="AL28" cm="1">
        <f t="array" aca="1" ref="AL28" ca="1">GetPin_RA8D1_32SD_MIPI</f>
        <v>0</v>
      </c>
      <c r="AM28" cm="1">
        <f t="array" aca="1" ref="AM28" ca="1">GetPin_RA8D1_32SD_MIPI</f>
        <v>0</v>
      </c>
      <c r="AN28" cm="1">
        <f t="array" aca="1" ref="AN28" ca="1">GetPin_RA8D1_32SD_MIPI</f>
        <v>0</v>
      </c>
      <c r="AO28" cm="1">
        <f t="array" aca="1" ref="AO28" ca="1">GetPin_RA8D1_32SD_MIPI</f>
        <v>0</v>
      </c>
      <c r="AP28" cm="1">
        <f t="array" aca="1" ref="AP28" ca="1">GetPin_RA8D1_32SD_MIPI</f>
        <v>0</v>
      </c>
      <c r="AQ28" cm="1">
        <f t="array" aca="1" ref="AQ28" ca="1">GetPin_RA8D1_32SD_MIPI</f>
        <v>0</v>
      </c>
      <c r="AR28" cm="1">
        <f t="array" aca="1" ref="AR28" ca="1">GetPin_RA8D1_32SD_MIPI</f>
        <v>0</v>
      </c>
      <c r="AS28" cm="1">
        <f t="array" aca="1" ref="AS28" ca="1">GetPin_RA8D1_32SD_MIPI</f>
        <v>0</v>
      </c>
      <c r="AT28" cm="1">
        <f t="array" aca="1" ref="AT28" ca="1">GetPin_RA8D1_32SD_MIPI</f>
        <v>0</v>
      </c>
      <c r="AU28" cm="1">
        <f t="array" aca="1" ref="AU28" ca="1">GetPin_RA8D1_32SD_MIPI</f>
        <v>0</v>
      </c>
      <c r="AV28" cm="1">
        <f t="array" aca="1" ref="AV28" ca="1">GetPin_RA8D1_32SD_MIPI</f>
        <v>0</v>
      </c>
      <c r="AW28" cm="1">
        <f t="array" aca="1" ref="AW28" ca="1">GetPin_RA8D1_32SD_MIPI</f>
        <v>0</v>
      </c>
      <c r="AX28" cm="1">
        <f t="array" aca="1" ref="AX28" ca="1">GetPin_RA8D1_32SD_MIPI</f>
        <v>0</v>
      </c>
      <c r="AY28" cm="1">
        <f t="array" aca="1" ref="AY28" ca="1">GetPin_RA8D1_32SD_MIPI</f>
        <v>0</v>
      </c>
      <c r="AZ28" cm="1">
        <f t="array" aca="1" ref="AZ28" ca="1">GetPin_RA8D1_32SD_MIPI</f>
        <v>0</v>
      </c>
      <c r="BA28" cm="1">
        <f t="array" aca="1" ref="BA28" ca="1">GetPin_RA8D1_32SD_MIPI</f>
        <v>0</v>
      </c>
      <c r="BB28" cm="1">
        <f t="array" aca="1" ref="BB28" ca="1">GetPin_RA8D1_32SD_MIPI</f>
        <v>0</v>
      </c>
      <c r="BC28" cm="1">
        <f t="array" aca="1" ref="BC28" ca="1">GetPin_RA8D1_32SD_MIPI</f>
        <v>0</v>
      </c>
      <c r="BD28" cm="1">
        <f t="array" aca="1" ref="BD28" ca="1">GetPin_RA8D1_32SD_MIPI</f>
        <v>0</v>
      </c>
      <c r="BG28">
        <v>8</v>
      </c>
    </row>
    <row r="29" spans="1:59" x14ac:dyDescent="0.25">
      <c r="Q29">
        <f>IF(ISBLANK(BoardBTB!Q29),-1,(COUNTIF(U29:BD29,4)*4+IF(COUNTIF(U29:BD29,2),1,0)*2+IF(COUNTIF(U29:BD29,1),1,0)))</f>
        <v>-1</v>
      </c>
      <c r="R29">
        <f>IF(ISBLANK(BoardBTB!R29),-1,(COUNTIF(U29:BD29,4)*4+IF(COUNTIF(U29:BD29,2),1,0)*2+IF(COUNTIF(U29:BD29,1),1,0)))</f>
        <v>-1</v>
      </c>
      <c r="S29">
        <f>IF(ISBLANK(BoardBTB!S29),-1,(COUNTIF(U29:BD29,4)*4+IF(COUNTIF(U29:BD29,2),1,0)*2+IF(COUNTIF(U29:BD29,1),1,0)))</f>
        <v>-1</v>
      </c>
      <c r="T29">
        <f ca="1">IF(ISBLANK(BoardBTB!T29),-1,(COUNTIF(U29:BD29,4)*4+IF(COUNTIF(U29:BD29,2),1,0)*2+IF(COUNTIF(U29:BD29,1),1,0)))</f>
        <v>4</v>
      </c>
      <c r="U29" cm="1">
        <f t="array" aca="1" ref="U29" ca="1">GetPin_RA8D1_32SD_MIPI</f>
        <v>0</v>
      </c>
      <c r="V29" cm="1">
        <f t="array" aca="1" ref="V29" ca="1">GetPin_RA8D1_32SD_MIPI</f>
        <v>0</v>
      </c>
      <c r="W29" cm="1">
        <f t="array" aca="1" ref="W29" ca="1">GetPin_RA8D1_32SD_MIPI</f>
        <v>0</v>
      </c>
      <c r="X29" cm="1">
        <f t="array" aca="1" ref="X29" ca="1">GetPin_RA8D1_32SD_MIPI</f>
        <v>0</v>
      </c>
      <c r="Y29" cm="1">
        <f t="array" aca="1" ref="Y29" ca="1">GetPin_RA8D1_32SD_MIPI</f>
        <v>0</v>
      </c>
      <c r="Z29" cm="1">
        <f t="array" aca="1" ref="Z29" ca="1">GetPin_RA8D1_32SD_MIPI</f>
        <v>0</v>
      </c>
      <c r="AA29" cm="1">
        <f t="array" aca="1" ref="AA29" ca="1">GetPin_RA8D1_32SD_MIPI</f>
        <v>0</v>
      </c>
      <c r="AB29" cm="1">
        <f t="array" aca="1" ref="AB29" ca="1">GetPin_RA8D1_32SD_MIPI</f>
        <v>0</v>
      </c>
      <c r="AC29" cm="1">
        <f t="array" aca="1" ref="AC29" ca="1">GetPin_RA8D1_32SD_MIPI</f>
        <v>0</v>
      </c>
      <c r="AD29" cm="1">
        <f t="array" aca="1" ref="AD29" ca="1">GetPin_RA8D1_32SD_MIPI</f>
        <v>0</v>
      </c>
      <c r="AE29" cm="1">
        <f t="array" aca="1" ref="AE29" ca="1">GetPin_RA8D1_32SD_MIPI</f>
        <v>0</v>
      </c>
      <c r="AF29" cm="1">
        <f t="array" aca="1" ref="AF29" ca="1">GetPin_RA8D1_32SD_MIPI</f>
        <v>0</v>
      </c>
      <c r="AG29" cm="1">
        <f t="array" aca="1" ref="AG29" ca="1">GetPin_RA8D1_32SD_MIPI</f>
        <v>4</v>
      </c>
      <c r="AH29" cm="1">
        <f t="array" aca="1" ref="AH29" ca="1">GetPin_RA8D1_32SD_MIPI</f>
        <v>0</v>
      </c>
      <c r="AI29" cm="1">
        <f t="array" aca="1" ref="AI29" ca="1">GetPin_RA8D1_32SD_MIPI</f>
        <v>0</v>
      </c>
      <c r="AJ29" cm="1">
        <f t="array" aca="1" ref="AJ29" ca="1">GetPin_RA8D1_32SD_MIPI</f>
        <v>0</v>
      </c>
      <c r="AK29" cm="1">
        <f t="array" aca="1" ref="AK29" ca="1">GetPin_RA8D1_32SD_MIPI</f>
        <v>0</v>
      </c>
      <c r="AL29" cm="1">
        <f t="array" aca="1" ref="AL29" ca="1">GetPin_RA8D1_32SD_MIPI</f>
        <v>0</v>
      </c>
      <c r="AM29" cm="1">
        <f t="array" aca="1" ref="AM29" ca="1">GetPin_RA8D1_32SD_MIPI</f>
        <v>0</v>
      </c>
      <c r="AN29" cm="1">
        <f t="array" aca="1" ref="AN29" ca="1">GetPin_RA8D1_32SD_MIPI</f>
        <v>0</v>
      </c>
      <c r="AO29" cm="1">
        <f t="array" aca="1" ref="AO29" ca="1">GetPin_RA8D1_32SD_MIPI</f>
        <v>0</v>
      </c>
      <c r="AP29" cm="1">
        <f t="array" aca="1" ref="AP29" ca="1">GetPin_RA8D1_32SD_MIPI</f>
        <v>0</v>
      </c>
      <c r="AQ29" cm="1">
        <f t="array" aca="1" ref="AQ29" ca="1">GetPin_RA8D1_32SD_MIPI</f>
        <v>0</v>
      </c>
      <c r="AR29" cm="1">
        <f t="array" aca="1" ref="AR29" ca="1">GetPin_RA8D1_32SD_MIPI</f>
        <v>0</v>
      </c>
      <c r="AS29" cm="1">
        <f t="array" aca="1" ref="AS29" ca="1">GetPin_RA8D1_32SD_MIPI</f>
        <v>0</v>
      </c>
      <c r="AT29" cm="1">
        <f t="array" aca="1" ref="AT29" ca="1">GetPin_RA8D1_32SD_MIPI</f>
        <v>0</v>
      </c>
      <c r="AU29" cm="1">
        <f t="array" aca="1" ref="AU29" ca="1">GetPin_RA8D1_32SD_MIPI</f>
        <v>0</v>
      </c>
      <c r="AV29" cm="1">
        <f t="array" aca="1" ref="AV29" ca="1">GetPin_RA8D1_32SD_MIPI</f>
        <v>0</v>
      </c>
      <c r="AW29" cm="1">
        <f t="array" aca="1" ref="AW29" ca="1">GetPin_RA8D1_32SD_MIPI</f>
        <v>0</v>
      </c>
      <c r="AX29" cm="1">
        <f t="array" aca="1" ref="AX29" ca="1">GetPin_RA8D1_32SD_MIPI</f>
        <v>0</v>
      </c>
      <c r="AY29" cm="1">
        <f t="array" aca="1" ref="AY29" ca="1">GetPin_RA8D1_32SD_MIPI</f>
        <v>0</v>
      </c>
      <c r="AZ29" cm="1">
        <f t="array" aca="1" ref="AZ29" ca="1">GetPin_RA8D1_32SD_MIPI</f>
        <v>0</v>
      </c>
      <c r="BA29" cm="1">
        <f t="array" aca="1" ref="BA29" ca="1">GetPin_RA8D1_32SD_MIPI</f>
        <v>0</v>
      </c>
      <c r="BB29" cm="1">
        <f t="array" aca="1" ref="BB29" ca="1">GetPin_RA8D1_32SD_MIPI</f>
        <v>0</v>
      </c>
      <c r="BC29" cm="1">
        <f t="array" aca="1" ref="BC29" ca="1">GetPin_RA8D1_32SD_MIPI</f>
        <v>0</v>
      </c>
      <c r="BD29" cm="1">
        <f t="array" aca="1" ref="BD29" ca="1">GetPin_RA8D1_32SD_MIPI</f>
        <v>0</v>
      </c>
      <c r="BG29">
        <v>9</v>
      </c>
    </row>
    <row r="30" spans="1:59" x14ac:dyDescent="0.25">
      <c r="Q30">
        <f>IF(ISBLANK(BoardBTB!Q30),-1,(COUNTIF(U30:BD30,4)*4+IF(COUNTIF(U30:BD30,2),1,0)*2+IF(COUNTIF(U30:BD30,1),1,0)))</f>
        <v>-1</v>
      </c>
      <c r="R30">
        <f>IF(ISBLANK(BoardBTB!R30),-1,(COUNTIF(U30:BD30,4)*4+IF(COUNTIF(U30:BD30,2),1,0)*2+IF(COUNTIF(U30:BD30,1),1,0)))</f>
        <v>-1</v>
      </c>
      <c r="S30">
        <f>IF(ISBLANK(BoardBTB!S30),-1,(COUNTIF(U30:BD30,4)*4+IF(COUNTIF(U30:BD30,2),1,0)*2+IF(COUNTIF(U30:BD30,1),1,0)))</f>
        <v>-1</v>
      </c>
      <c r="T30">
        <f ca="1">IF(ISBLANK(BoardBTB!T30),-1,(COUNTIF(U30:BD30,4)*4+IF(COUNTIF(U30:BD30,2),1,0)*2+IF(COUNTIF(U30:BD30,1),1,0)))</f>
        <v>4</v>
      </c>
      <c r="U30" cm="1">
        <f t="array" aca="1" ref="U30" ca="1">GetPin_RA8D1_32SD_MIPI</f>
        <v>0</v>
      </c>
      <c r="V30" cm="1">
        <f t="array" aca="1" ref="V30" ca="1">GetPin_RA8D1_32SD_MIPI</f>
        <v>0</v>
      </c>
      <c r="W30" cm="1">
        <f t="array" aca="1" ref="W30" ca="1">GetPin_RA8D1_32SD_MIPI</f>
        <v>0</v>
      </c>
      <c r="X30" cm="1">
        <f t="array" aca="1" ref="X30" ca="1">GetPin_RA8D1_32SD_MIPI</f>
        <v>0</v>
      </c>
      <c r="Y30" cm="1">
        <f t="array" aca="1" ref="Y30" ca="1">GetPin_RA8D1_32SD_MIPI</f>
        <v>0</v>
      </c>
      <c r="Z30" cm="1">
        <f t="array" aca="1" ref="Z30" ca="1">GetPin_RA8D1_32SD_MIPI</f>
        <v>0</v>
      </c>
      <c r="AA30" cm="1">
        <f t="array" aca="1" ref="AA30" ca="1">GetPin_RA8D1_32SD_MIPI</f>
        <v>0</v>
      </c>
      <c r="AB30" cm="1">
        <f t="array" aca="1" ref="AB30" ca="1">GetPin_RA8D1_32SD_MIPI</f>
        <v>0</v>
      </c>
      <c r="AC30" cm="1">
        <f t="array" aca="1" ref="AC30" ca="1">GetPin_RA8D1_32SD_MIPI</f>
        <v>0</v>
      </c>
      <c r="AD30" cm="1">
        <f t="array" aca="1" ref="AD30" ca="1">GetPin_RA8D1_32SD_MIPI</f>
        <v>0</v>
      </c>
      <c r="AE30" cm="1">
        <f t="array" aca="1" ref="AE30" ca="1">GetPin_RA8D1_32SD_MIPI</f>
        <v>0</v>
      </c>
      <c r="AF30" cm="1">
        <f t="array" aca="1" ref="AF30" ca="1">GetPin_RA8D1_32SD_MIPI</f>
        <v>0</v>
      </c>
      <c r="AG30" cm="1">
        <f t="array" aca="1" ref="AG30" ca="1">GetPin_RA8D1_32SD_MIPI</f>
        <v>4</v>
      </c>
      <c r="AH30" cm="1">
        <f t="array" aca="1" ref="AH30" ca="1">GetPin_RA8D1_32SD_MIPI</f>
        <v>0</v>
      </c>
      <c r="AI30" cm="1">
        <f t="array" aca="1" ref="AI30" ca="1">GetPin_RA8D1_32SD_MIPI</f>
        <v>0</v>
      </c>
      <c r="AJ30" cm="1">
        <f t="array" aca="1" ref="AJ30" ca="1">GetPin_RA8D1_32SD_MIPI</f>
        <v>0</v>
      </c>
      <c r="AK30" cm="1">
        <f t="array" aca="1" ref="AK30" ca="1">GetPin_RA8D1_32SD_MIPI</f>
        <v>0</v>
      </c>
      <c r="AL30" cm="1">
        <f t="array" aca="1" ref="AL30" ca="1">GetPin_RA8D1_32SD_MIPI</f>
        <v>0</v>
      </c>
      <c r="AM30" cm="1">
        <f t="array" aca="1" ref="AM30" ca="1">GetPin_RA8D1_32SD_MIPI</f>
        <v>0</v>
      </c>
      <c r="AN30" cm="1">
        <f t="array" aca="1" ref="AN30" ca="1">GetPin_RA8D1_32SD_MIPI</f>
        <v>0</v>
      </c>
      <c r="AO30" cm="1">
        <f t="array" aca="1" ref="AO30" ca="1">GetPin_RA8D1_32SD_MIPI</f>
        <v>0</v>
      </c>
      <c r="AP30" cm="1">
        <f t="array" aca="1" ref="AP30" ca="1">GetPin_RA8D1_32SD_MIPI</f>
        <v>0</v>
      </c>
      <c r="AQ30" cm="1">
        <f t="array" aca="1" ref="AQ30" ca="1">GetPin_RA8D1_32SD_MIPI</f>
        <v>0</v>
      </c>
      <c r="AR30" cm="1">
        <f t="array" aca="1" ref="AR30" ca="1">GetPin_RA8D1_32SD_MIPI</f>
        <v>0</v>
      </c>
      <c r="AS30" cm="1">
        <f t="array" aca="1" ref="AS30" ca="1">GetPin_RA8D1_32SD_MIPI</f>
        <v>0</v>
      </c>
      <c r="AT30" cm="1">
        <f t="array" aca="1" ref="AT30" ca="1">GetPin_RA8D1_32SD_MIPI</f>
        <v>0</v>
      </c>
      <c r="AU30" cm="1">
        <f t="array" aca="1" ref="AU30" ca="1">GetPin_RA8D1_32SD_MIPI</f>
        <v>0</v>
      </c>
      <c r="AV30" cm="1">
        <f t="array" aca="1" ref="AV30" ca="1">GetPin_RA8D1_32SD_MIPI</f>
        <v>0</v>
      </c>
      <c r="AW30" cm="1">
        <f t="array" aca="1" ref="AW30" ca="1">GetPin_RA8D1_32SD_MIPI</f>
        <v>0</v>
      </c>
      <c r="AX30" cm="1">
        <f t="array" aca="1" ref="AX30" ca="1">GetPin_RA8D1_32SD_MIPI</f>
        <v>0</v>
      </c>
      <c r="AY30" cm="1">
        <f t="array" aca="1" ref="AY30" ca="1">GetPin_RA8D1_32SD_MIPI</f>
        <v>0</v>
      </c>
      <c r="AZ30" cm="1">
        <f t="array" aca="1" ref="AZ30" ca="1">GetPin_RA8D1_32SD_MIPI</f>
        <v>0</v>
      </c>
      <c r="BA30" cm="1">
        <f t="array" aca="1" ref="BA30" ca="1">GetPin_RA8D1_32SD_MIPI</f>
        <v>0</v>
      </c>
      <c r="BB30" cm="1">
        <f t="array" aca="1" ref="BB30" ca="1">GetPin_RA8D1_32SD_MIPI</f>
        <v>0</v>
      </c>
      <c r="BC30" cm="1">
        <f t="array" aca="1" ref="BC30" ca="1">GetPin_RA8D1_32SD_MIPI</f>
        <v>0</v>
      </c>
      <c r="BD30" cm="1">
        <f t="array" aca="1" ref="BD30" ca="1">GetPin_RA8D1_32SD_MIPI</f>
        <v>0</v>
      </c>
      <c r="BG30">
        <v>10</v>
      </c>
    </row>
    <row r="31" spans="1:59" x14ac:dyDescent="0.25">
      <c r="Q31">
        <f>IF(ISBLANK(BoardBTB!Q31),-1,(COUNTIF(U31:BD31,4)*4+IF(COUNTIF(U31:BD31,2),1,0)*2+IF(COUNTIF(U31:BD31,1),1,0)))</f>
        <v>-1</v>
      </c>
      <c r="R31">
        <f>IF(ISBLANK(BoardBTB!R31),-1,(COUNTIF(U31:BD31,4)*4+IF(COUNTIF(U31:BD31,2),1,0)*2+IF(COUNTIF(U31:BD31,1),1,0)))</f>
        <v>-1</v>
      </c>
      <c r="S31">
        <f>IF(ISBLANK(BoardBTB!S31),-1,(COUNTIF(U31:BD31,4)*4+IF(COUNTIF(U31:BD31,2),1,0)*2+IF(COUNTIF(U31:BD31,1),1,0)))</f>
        <v>-1</v>
      </c>
      <c r="T31">
        <f ca="1">IF(ISBLANK(BoardBTB!T31),-1,(COUNTIF(U31:BD31,4)*4+IF(COUNTIF(U31:BD31,2),1,0)*2+IF(COUNTIF(U31:BD31,1),1,0)))</f>
        <v>4</v>
      </c>
      <c r="U31" cm="1">
        <f t="array" aca="1" ref="U31" ca="1">GetPin_RA8D1_32SD_MIPI</f>
        <v>0</v>
      </c>
      <c r="V31" cm="1">
        <f t="array" aca="1" ref="V31" ca="1">GetPin_RA8D1_32SD_MIPI</f>
        <v>0</v>
      </c>
      <c r="W31" cm="1">
        <f t="array" aca="1" ref="W31" ca="1">GetPin_RA8D1_32SD_MIPI</f>
        <v>0</v>
      </c>
      <c r="X31" cm="1">
        <f t="array" aca="1" ref="X31" ca="1">GetPin_RA8D1_32SD_MIPI</f>
        <v>0</v>
      </c>
      <c r="Y31" cm="1">
        <f t="array" aca="1" ref="Y31" ca="1">GetPin_RA8D1_32SD_MIPI</f>
        <v>0</v>
      </c>
      <c r="Z31" cm="1">
        <f t="array" aca="1" ref="Z31" ca="1">GetPin_RA8D1_32SD_MIPI</f>
        <v>0</v>
      </c>
      <c r="AA31" cm="1">
        <f t="array" aca="1" ref="AA31" ca="1">GetPin_RA8D1_32SD_MIPI</f>
        <v>0</v>
      </c>
      <c r="AB31" cm="1">
        <f t="array" aca="1" ref="AB31" ca="1">GetPin_RA8D1_32SD_MIPI</f>
        <v>0</v>
      </c>
      <c r="AC31" cm="1">
        <f t="array" aca="1" ref="AC31" ca="1">GetPin_RA8D1_32SD_MIPI</f>
        <v>0</v>
      </c>
      <c r="AD31" cm="1">
        <f t="array" aca="1" ref="AD31" ca="1">GetPin_RA8D1_32SD_MIPI</f>
        <v>0</v>
      </c>
      <c r="AE31" cm="1">
        <f t="array" aca="1" ref="AE31" ca="1">GetPin_RA8D1_32SD_MIPI</f>
        <v>0</v>
      </c>
      <c r="AF31" cm="1">
        <f t="array" aca="1" ref="AF31" ca="1">GetPin_RA8D1_32SD_MIPI</f>
        <v>0</v>
      </c>
      <c r="AG31" cm="1">
        <f t="array" aca="1" ref="AG31" ca="1">GetPin_RA8D1_32SD_MIPI</f>
        <v>4</v>
      </c>
      <c r="AH31" cm="1">
        <f t="array" aca="1" ref="AH31" ca="1">GetPin_RA8D1_32SD_MIPI</f>
        <v>0</v>
      </c>
      <c r="AI31" cm="1">
        <f t="array" aca="1" ref="AI31" ca="1">GetPin_RA8D1_32SD_MIPI</f>
        <v>0</v>
      </c>
      <c r="AJ31" cm="1">
        <f t="array" aca="1" ref="AJ31" ca="1">GetPin_RA8D1_32SD_MIPI</f>
        <v>0</v>
      </c>
      <c r="AK31" cm="1">
        <f t="array" aca="1" ref="AK31" ca="1">GetPin_RA8D1_32SD_MIPI</f>
        <v>0</v>
      </c>
      <c r="AL31" cm="1">
        <f t="array" aca="1" ref="AL31" ca="1">GetPin_RA8D1_32SD_MIPI</f>
        <v>0</v>
      </c>
      <c r="AM31" cm="1">
        <f t="array" aca="1" ref="AM31" ca="1">GetPin_RA8D1_32SD_MIPI</f>
        <v>0</v>
      </c>
      <c r="AN31" cm="1">
        <f t="array" aca="1" ref="AN31" ca="1">GetPin_RA8D1_32SD_MIPI</f>
        <v>0</v>
      </c>
      <c r="AO31" cm="1">
        <f t="array" aca="1" ref="AO31" ca="1">GetPin_RA8D1_32SD_MIPI</f>
        <v>0</v>
      </c>
      <c r="AP31" cm="1">
        <f t="array" aca="1" ref="AP31" ca="1">GetPin_RA8D1_32SD_MIPI</f>
        <v>0</v>
      </c>
      <c r="AQ31" cm="1">
        <f t="array" aca="1" ref="AQ31" ca="1">GetPin_RA8D1_32SD_MIPI</f>
        <v>0</v>
      </c>
      <c r="AR31" cm="1">
        <f t="array" aca="1" ref="AR31" ca="1">GetPin_RA8D1_32SD_MIPI</f>
        <v>0</v>
      </c>
      <c r="AS31" cm="1">
        <f t="array" aca="1" ref="AS31" ca="1">GetPin_RA8D1_32SD_MIPI</f>
        <v>0</v>
      </c>
      <c r="AT31" cm="1">
        <f t="array" aca="1" ref="AT31" ca="1">GetPin_RA8D1_32SD_MIPI</f>
        <v>0</v>
      </c>
      <c r="AU31" cm="1">
        <f t="array" aca="1" ref="AU31" ca="1">GetPin_RA8D1_32SD_MIPI</f>
        <v>0</v>
      </c>
      <c r="AV31" cm="1">
        <f t="array" aca="1" ref="AV31" ca="1">GetPin_RA8D1_32SD_MIPI</f>
        <v>0</v>
      </c>
      <c r="AW31" cm="1">
        <f t="array" aca="1" ref="AW31" ca="1">GetPin_RA8D1_32SD_MIPI</f>
        <v>0</v>
      </c>
      <c r="AX31" cm="1">
        <f t="array" aca="1" ref="AX31" ca="1">GetPin_RA8D1_32SD_MIPI</f>
        <v>0</v>
      </c>
      <c r="AY31" cm="1">
        <f t="array" aca="1" ref="AY31" ca="1">GetPin_RA8D1_32SD_MIPI</f>
        <v>0</v>
      </c>
      <c r="AZ31" cm="1">
        <f t="array" aca="1" ref="AZ31" ca="1">GetPin_RA8D1_32SD_MIPI</f>
        <v>0</v>
      </c>
      <c r="BA31" cm="1">
        <f t="array" aca="1" ref="BA31" ca="1">GetPin_RA8D1_32SD_MIPI</f>
        <v>0</v>
      </c>
      <c r="BB31" cm="1">
        <f t="array" aca="1" ref="BB31" ca="1">GetPin_RA8D1_32SD_MIPI</f>
        <v>0</v>
      </c>
      <c r="BC31" cm="1">
        <f t="array" aca="1" ref="BC31" ca="1">GetPin_RA8D1_32SD_MIPI</f>
        <v>0</v>
      </c>
      <c r="BD31" cm="1">
        <f t="array" aca="1" ref="BD31" ca="1">GetPin_RA8D1_32SD_MIPI</f>
        <v>0</v>
      </c>
      <c r="BG31">
        <v>11</v>
      </c>
    </row>
    <row r="32" spans="1:59" x14ac:dyDescent="0.25">
      <c r="Q32">
        <f>IF(ISBLANK(BoardBTB!Q32),-1,(COUNTIF(U32:BD32,4)*4+IF(COUNTIF(U32:BD32,2),1,0)*2+IF(COUNTIF(U32:BD32,1),1,0)))</f>
        <v>-1</v>
      </c>
      <c r="R32">
        <f>IF(ISBLANK(BoardBTB!R32),-1,(COUNTIF(U32:BD32,4)*4+IF(COUNTIF(U32:BD32,2),1,0)*2+IF(COUNTIF(U32:BD32,1),1,0)))</f>
        <v>-1</v>
      </c>
      <c r="S32">
        <f>IF(ISBLANK(BoardBTB!S32),-1,(COUNTIF(U32:BD32,4)*4+IF(COUNTIF(U32:BD32,2),1,0)*2+IF(COUNTIF(U32:BD32,1),1,0)))</f>
        <v>-1</v>
      </c>
      <c r="T32">
        <f ca="1">IF(ISBLANK(BoardBTB!T32),-1,(COUNTIF(U32:BD32,4)*4+IF(COUNTIF(U32:BD32,2),1,0)*2+IF(COUNTIF(U32:BD32,1),1,0)))</f>
        <v>4</v>
      </c>
      <c r="U32" cm="1">
        <f t="array" aca="1" ref="U32" ca="1">GetPin_RA8D1_32SD_MIPI</f>
        <v>0</v>
      </c>
      <c r="V32" cm="1">
        <f t="array" aca="1" ref="V32" ca="1">GetPin_RA8D1_32SD_MIPI</f>
        <v>0</v>
      </c>
      <c r="W32" cm="1">
        <f t="array" aca="1" ref="W32" ca="1">GetPin_RA8D1_32SD_MIPI</f>
        <v>0</v>
      </c>
      <c r="X32" cm="1">
        <f t="array" aca="1" ref="X32" ca="1">GetPin_RA8D1_32SD_MIPI</f>
        <v>0</v>
      </c>
      <c r="Y32" cm="1">
        <f t="array" aca="1" ref="Y32" ca="1">GetPin_RA8D1_32SD_MIPI</f>
        <v>0</v>
      </c>
      <c r="Z32" cm="1">
        <f t="array" aca="1" ref="Z32" ca="1">GetPin_RA8D1_32SD_MIPI</f>
        <v>0</v>
      </c>
      <c r="AA32" cm="1">
        <f t="array" aca="1" ref="AA32" ca="1">GetPin_RA8D1_32SD_MIPI</f>
        <v>0</v>
      </c>
      <c r="AB32" cm="1">
        <f t="array" aca="1" ref="AB32" ca="1">GetPin_RA8D1_32SD_MIPI</f>
        <v>0</v>
      </c>
      <c r="AC32" cm="1">
        <f t="array" aca="1" ref="AC32" ca="1">GetPin_RA8D1_32SD_MIPI</f>
        <v>0</v>
      </c>
      <c r="AD32" cm="1">
        <f t="array" aca="1" ref="AD32" ca="1">GetPin_RA8D1_32SD_MIPI</f>
        <v>0</v>
      </c>
      <c r="AE32" cm="1">
        <f t="array" aca="1" ref="AE32" ca="1">GetPin_RA8D1_32SD_MIPI</f>
        <v>0</v>
      </c>
      <c r="AF32" cm="1">
        <f t="array" aca="1" ref="AF32" ca="1">GetPin_RA8D1_32SD_MIPI</f>
        <v>0</v>
      </c>
      <c r="AG32" cm="1">
        <f t="array" aca="1" ref="AG32" ca="1">GetPin_RA8D1_32SD_MIPI</f>
        <v>4</v>
      </c>
      <c r="AH32" cm="1">
        <f t="array" aca="1" ref="AH32" ca="1">GetPin_RA8D1_32SD_MIPI</f>
        <v>0</v>
      </c>
      <c r="AI32" cm="1">
        <f t="array" aca="1" ref="AI32" ca="1">GetPin_RA8D1_32SD_MIPI</f>
        <v>0</v>
      </c>
      <c r="AJ32" cm="1">
        <f t="array" aca="1" ref="AJ32" ca="1">GetPin_RA8D1_32SD_MIPI</f>
        <v>0</v>
      </c>
      <c r="AK32" cm="1">
        <f t="array" aca="1" ref="AK32" ca="1">GetPin_RA8D1_32SD_MIPI</f>
        <v>0</v>
      </c>
      <c r="AL32" cm="1">
        <f t="array" aca="1" ref="AL32" ca="1">GetPin_RA8D1_32SD_MIPI</f>
        <v>0</v>
      </c>
      <c r="AM32" cm="1">
        <f t="array" aca="1" ref="AM32" ca="1">GetPin_RA8D1_32SD_MIPI</f>
        <v>0</v>
      </c>
      <c r="AN32" cm="1">
        <f t="array" aca="1" ref="AN32" ca="1">GetPin_RA8D1_32SD_MIPI</f>
        <v>0</v>
      </c>
      <c r="AO32" cm="1">
        <f t="array" aca="1" ref="AO32" ca="1">GetPin_RA8D1_32SD_MIPI</f>
        <v>0</v>
      </c>
      <c r="AP32" cm="1">
        <f t="array" aca="1" ref="AP32" ca="1">GetPin_RA8D1_32SD_MIPI</f>
        <v>0</v>
      </c>
      <c r="AQ32" cm="1">
        <f t="array" aca="1" ref="AQ32" ca="1">GetPin_RA8D1_32SD_MIPI</f>
        <v>0</v>
      </c>
      <c r="AR32" cm="1">
        <f t="array" aca="1" ref="AR32" ca="1">GetPin_RA8D1_32SD_MIPI</f>
        <v>0</v>
      </c>
      <c r="AS32" cm="1">
        <f t="array" aca="1" ref="AS32" ca="1">GetPin_RA8D1_32SD_MIPI</f>
        <v>0</v>
      </c>
      <c r="AT32" cm="1">
        <f t="array" aca="1" ref="AT32" ca="1">GetPin_RA8D1_32SD_MIPI</f>
        <v>0</v>
      </c>
      <c r="AU32" cm="1">
        <f t="array" aca="1" ref="AU32" ca="1">GetPin_RA8D1_32SD_MIPI</f>
        <v>0</v>
      </c>
      <c r="AV32" cm="1">
        <f t="array" aca="1" ref="AV32" ca="1">GetPin_RA8D1_32SD_MIPI</f>
        <v>0</v>
      </c>
      <c r="AW32" cm="1">
        <f t="array" aca="1" ref="AW32" ca="1">GetPin_RA8D1_32SD_MIPI</f>
        <v>0</v>
      </c>
      <c r="AX32" cm="1">
        <f t="array" aca="1" ref="AX32" ca="1">GetPin_RA8D1_32SD_MIPI</f>
        <v>0</v>
      </c>
      <c r="AY32" cm="1">
        <f t="array" aca="1" ref="AY32" ca="1">GetPin_RA8D1_32SD_MIPI</f>
        <v>0</v>
      </c>
      <c r="AZ32" cm="1">
        <f t="array" aca="1" ref="AZ32" ca="1">GetPin_RA8D1_32SD_MIPI</f>
        <v>0</v>
      </c>
      <c r="BA32" cm="1">
        <f t="array" aca="1" ref="BA32" ca="1">GetPin_RA8D1_32SD_MIPI</f>
        <v>0</v>
      </c>
      <c r="BB32" cm="1">
        <f t="array" aca="1" ref="BB32" ca="1">GetPin_RA8D1_32SD_MIPI</f>
        <v>0</v>
      </c>
      <c r="BC32" cm="1">
        <f t="array" aca="1" ref="BC32" ca="1">GetPin_RA8D1_32SD_MIPI</f>
        <v>0</v>
      </c>
      <c r="BD32" cm="1">
        <f t="array" aca="1" ref="BD32" ca="1">GetPin_RA8D1_32SD_MIPI</f>
        <v>0</v>
      </c>
      <c r="BG32">
        <v>12</v>
      </c>
    </row>
    <row r="33" spans="17:59" x14ac:dyDescent="0.25">
      <c r="Q33">
        <f>IF(ISBLANK(BoardBTB!Q33),-1,(COUNTIF(U33:BD33,4)*4+IF(COUNTIF(U33:BD33,2),1,0)*2+IF(COUNTIF(U33:BD33,1),1,0)))</f>
        <v>-1</v>
      </c>
      <c r="R33">
        <f>IF(ISBLANK(BoardBTB!R33),-1,(COUNTIF(U33:BD33,4)*4+IF(COUNTIF(U33:BD33,2),1,0)*2+IF(COUNTIF(U33:BD33,1),1,0)))</f>
        <v>-1</v>
      </c>
      <c r="S33">
        <f>IF(ISBLANK(BoardBTB!S33),-1,(COUNTIF(U33:BD33,4)*4+IF(COUNTIF(U33:BD33,2),1,0)*2+IF(COUNTIF(U33:BD33,1),1,0)))</f>
        <v>-1</v>
      </c>
      <c r="T33">
        <f ca="1">IF(ISBLANK(BoardBTB!T33),-1,(COUNTIF(U33:BD33,4)*4+IF(COUNTIF(U33:BD33,2),1,0)*2+IF(COUNTIF(U33:BD33,1),1,0)))</f>
        <v>4</v>
      </c>
      <c r="U33" cm="1">
        <f t="array" aca="1" ref="U33" ca="1">GetPin_RA8D1_32SD_MIPI</f>
        <v>0</v>
      </c>
      <c r="V33" cm="1">
        <f t="array" aca="1" ref="V33" ca="1">GetPin_RA8D1_32SD_MIPI</f>
        <v>0</v>
      </c>
      <c r="W33" cm="1">
        <f t="array" aca="1" ref="W33" ca="1">GetPin_RA8D1_32SD_MIPI</f>
        <v>0</v>
      </c>
      <c r="X33" cm="1">
        <f t="array" aca="1" ref="X33" ca="1">GetPin_RA8D1_32SD_MIPI</f>
        <v>0</v>
      </c>
      <c r="Y33" cm="1">
        <f t="array" aca="1" ref="Y33" ca="1">GetPin_RA8D1_32SD_MIPI</f>
        <v>0</v>
      </c>
      <c r="Z33" cm="1">
        <f t="array" aca="1" ref="Z33" ca="1">GetPin_RA8D1_32SD_MIPI</f>
        <v>0</v>
      </c>
      <c r="AA33" cm="1">
        <f t="array" aca="1" ref="AA33" ca="1">GetPin_RA8D1_32SD_MIPI</f>
        <v>0</v>
      </c>
      <c r="AB33" cm="1">
        <f t="array" aca="1" ref="AB33" ca="1">GetPin_RA8D1_32SD_MIPI</f>
        <v>0</v>
      </c>
      <c r="AC33" cm="1">
        <f t="array" aca="1" ref="AC33" ca="1">GetPin_RA8D1_32SD_MIPI</f>
        <v>0</v>
      </c>
      <c r="AD33" cm="1">
        <f t="array" aca="1" ref="AD33" ca="1">GetPin_RA8D1_32SD_MIPI</f>
        <v>0</v>
      </c>
      <c r="AE33" cm="1">
        <f t="array" aca="1" ref="AE33" ca="1">GetPin_RA8D1_32SD_MIPI</f>
        <v>0</v>
      </c>
      <c r="AF33" cm="1">
        <f t="array" aca="1" ref="AF33" ca="1">GetPin_RA8D1_32SD_MIPI</f>
        <v>0</v>
      </c>
      <c r="AG33" cm="1">
        <f t="array" aca="1" ref="AG33" ca="1">GetPin_RA8D1_32SD_MIPI</f>
        <v>4</v>
      </c>
      <c r="AH33" cm="1">
        <f t="array" aca="1" ref="AH33" ca="1">GetPin_RA8D1_32SD_MIPI</f>
        <v>0</v>
      </c>
      <c r="AI33" cm="1">
        <f t="array" aca="1" ref="AI33" ca="1">GetPin_RA8D1_32SD_MIPI</f>
        <v>0</v>
      </c>
      <c r="AJ33" cm="1">
        <f t="array" aca="1" ref="AJ33" ca="1">GetPin_RA8D1_32SD_MIPI</f>
        <v>0</v>
      </c>
      <c r="AK33" cm="1">
        <f t="array" aca="1" ref="AK33" ca="1">GetPin_RA8D1_32SD_MIPI</f>
        <v>0</v>
      </c>
      <c r="AL33" cm="1">
        <f t="array" aca="1" ref="AL33" ca="1">GetPin_RA8D1_32SD_MIPI</f>
        <v>0</v>
      </c>
      <c r="AM33" cm="1">
        <f t="array" aca="1" ref="AM33" ca="1">GetPin_RA8D1_32SD_MIPI</f>
        <v>0</v>
      </c>
      <c r="AN33" cm="1">
        <f t="array" aca="1" ref="AN33" ca="1">GetPin_RA8D1_32SD_MIPI</f>
        <v>0</v>
      </c>
      <c r="AO33" cm="1">
        <f t="array" aca="1" ref="AO33" ca="1">GetPin_RA8D1_32SD_MIPI</f>
        <v>0</v>
      </c>
      <c r="AP33" cm="1">
        <f t="array" aca="1" ref="AP33" ca="1">GetPin_RA8D1_32SD_MIPI</f>
        <v>0</v>
      </c>
      <c r="AQ33" cm="1">
        <f t="array" aca="1" ref="AQ33" ca="1">GetPin_RA8D1_32SD_MIPI</f>
        <v>0</v>
      </c>
      <c r="AR33" cm="1">
        <f t="array" aca="1" ref="AR33" ca="1">GetPin_RA8D1_32SD_MIPI</f>
        <v>0</v>
      </c>
      <c r="AS33" cm="1">
        <f t="array" aca="1" ref="AS33" ca="1">GetPin_RA8D1_32SD_MIPI</f>
        <v>0</v>
      </c>
      <c r="AT33" cm="1">
        <f t="array" aca="1" ref="AT33" ca="1">GetPin_RA8D1_32SD_MIPI</f>
        <v>0</v>
      </c>
      <c r="AU33" cm="1">
        <f t="array" aca="1" ref="AU33" ca="1">GetPin_RA8D1_32SD_MIPI</f>
        <v>0</v>
      </c>
      <c r="AV33" cm="1">
        <f t="array" aca="1" ref="AV33" ca="1">GetPin_RA8D1_32SD_MIPI</f>
        <v>0</v>
      </c>
      <c r="AW33" cm="1">
        <f t="array" aca="1" ref="AW33" ca="1">GetPin_RA8D1_32SD_MIPI</f>
        <v>0</v>
      </c>
      <c r="AX33" cm="1">
        <f t="array" aca="1" ref="AX33" ca="1">GetPin_RA8D1_32SD_MIPI</f>
        <v>0</v>
      </c>
      <c r="AY33" cm="1">
        <f t="array" aca="1" ref="AY33" ca="1">GetPin_RA8D1_32SD_MIPI</f>
        <v>0</v>
      </c>
      <c r="AZ33" cm="1">
        <f t="array" aca="1" ref="AZ33" ca="1">GetPin_RA8D1_32SD_MIPI</f>
        <v>0</v>
      </c>
      <c r="BA33" cm="1">
        <f t="array" aca="1" ref="BA33" ca="1">GetPin_RA8D1_32SD_MIPI</f>
        <v>0</v>
      </c>
      <c r="BB33" cm="1">
        <f t="array" aca="1" ref="BB33" ca="1">GetPin_RA8D1_32SD_MIPI</f>
        <v>0</v>
      </c>
      <c r="BC33" cm="1">
        <f t="array" aca="1" ref="BC33" ca="1">GetPin_RA8D1_32SD_MIPI</f>
        <v>0</v>
      </c>
      <c r="BD33" cm="1">
        <f t="array" aca="1" ref="BD33" ca="1">GetPin_RA8D1_32SD_MIPI</f>
        <v>0</v>
      </c>
      <c r="BG33">
        <v>13</v>
      </c>
    </row>
    <row r="34" spans="17:59" x14ac:dyDescent="0.25">
      <c r="Q34">
        <f>IF(ISBLANK(BoardBTB!Q34),-1,(COUNTIF(U34:BD34,4)*4+IF(COUNTIF(U34:BD34,2),1,0)*2+IF(COUNTIF(U34:BD34,1),1,0)))</f>
        <v>-1</v>
      </c>
      <c r="R34">
        <f>IF(ISBLANK(BoardBTB!R34),-1,(COUNTIF(U34:BD34,4)*4+IF(COUNTIF(U34:BD34,2),1,0)*2+IF(COUNTIF(U34:BD34,1),1,0)))</f>
        <v>-1</v>
      </c>
      <c r="S34">
        <f>IF(ISBLANK(BoardBTB!S34),-1,(COUNTIF(U34:BD34,4)*4+IF(COUNTIF(U34:BD34,2),1,0)*2+IF(COUNTIF(U34:BD34,1),1,0)))</f>
        <v>-1</v>
      </c>
      <c r="T34">
        <f ca="1">IF(ISBLANK(BoardBTB!T34),-1,(COUNTIF(U34:BD34,4)*4+IF(COUNTIF(U34:BD34,2),1,0)*2+IF(COUNTIF(U34:BD34,1),1,0)))</f>
        <v>0</v>
      </c>
      <c r="U34" cm="1">
        <f t="array" aca="1" ref="U34" ca="1">GetPin_RA8D1_32SD_MIPI</f>
        <v>0</v>
      </c>
      <c r="V34" cm="1">
        <f t="array" aca="1" ref="V34" ca="1">GetPin_RA8D1_32SD_MIPI</f>
        <v>0</v>
      </c>
      <c r="W34" cm="1">
        <f t="array" aca="1" ref="W34" ca="1">GetPin_RA8D1_32SD_MIPI</f>
        <v>0</v>
      </c>
      <c r="X34" cm="1">
        <f t="array" aca="1" ref="X34" ca="1">GetPin_RA8D1_32SD_MIPI</f>
        <v>0</v>
      </c>
      <c r="Y34" cm="1">
        <f t="array" aca="1" ref="Y34" ca="1">GetPin_RA8D1_32SD_MIPI</f>
        <v>0</v>
      </c>
      <c r="Z34" cm="1">
        <f t="array" aca="1" ref="Z34" ca="1">GetPin_RA8D1_32SD_MIPI</f>
        <v>0</v>
      </c>
      <c r="AA34" cm="1">
        <f t="array" aca="1" ref="AA34" ca="1">GetPin_RA8D1_32SD_MIPI</f>
        <v>0</v>
      </c>
      <c r="AB34" cm="1">
        <f t="array" aca="1" ref="AB34" ca="1">GetPin_RA8D1_32SD_MIPI</f>
        <v>0</v>
      </c>
      <c r="AC34" cm="1">
        <f t="array" aca="1" ref="AC34" ca="1">GetPin_RA8D1_32SD_MIPI</f>
        <v>0</v>
      </c>
      <c r="AD34" cm="1">
        <f t="array" aca="1" ref="AD34" ca="1">GetPin_RA8D1_32SD_MIPI</f>
        <v>0</v>
      </c>
      <c r="AE34" cm="1">
        <f t="array" aca="1" ref="AE34" ca="1">GetPin_RA8D1_32SD_MIPI</f>
        <v>0</v>
      </c>
      <c r="AF34" cm="1">
        <f t="array" aca="1" ref="AF34" ca="1">GetPin_RA8D1_32SD_MIPI</f>
        <v>0</v>
      </c>
      <c r="AG34" cm="1">
        <f t="array" aca="1" ref="AG34" ca="1">GetPin_RA8D1_32SD_MIPI</f>
        <v>0</v>
      </c>
      <c r="AH34" cm="1">
        <f t="array" aca="1" ref="AH34" ca="1">GetPin_RA8D1_32SD_MIPI</f>
        <v>0</v>
      </c>
      <c r="AI34" cm="1">
        <f t="array" aca="1" ref="AI34" ca="1">GetPin_RA8D1_32SD_MIPI</f>
        <v>0</v>
      </c>
      <c r="AJ34" cm="1">
        <f t="array" aca="1" ref="AJ34" ca="1">GetPin_RA8D1_32SD_MIPI</f>
        <v>0</v>
      </c>
      <c r="AK34" cm="1">
        <f t="array" aca="1" ref="AK34" ca="1">GetPin_RA8D1_32SD_MIPI</f>
        <v>0</v>
      </c>
      <c r="AL34" cm="1">
        <f t="array" aca="1" ref="AL34" ca="1">GetPin_RA8D1_32SD_MIPI</f>
        <v>0</v>
      </c>
      <c r="AM34" cm="1">
        <f t="array" aca="1" ref="AM34" ca="1">GetPin_RA8D1_32SD_MIPI</f>
        <v>0</v>
      </c>
      <c r="AN34" cm="1">
        <f t="array" aca="1" ref="AN34" ca="1">GetPin_RA8D1_32SD_MIPI</f>
        <v>0</v>
      </c>
      <c r="AO34" cm="1">
        <f t="array" aca="1" ref="AO34" ca="1">GetPin_RA8D1_32SD_MIPI</f>
        <v>0</v>
      </c>
      <c r="AP34" cm="1">
        <f t="array" aca="1" ref="AP34" ca="1">GetPin_RA8D1_32SD_MIPI</f>
        <v>0</v>
      </c>
      <c r="AQ34" cm="1">
        <f t="array" aca="1" ref="AQ34" ca="1">GetPin_RA8D1_32SD_MIPI</f>
        <v>0</v>
      </c>
      <c r="AR34" cm="1">
        <f t="array" aca="1" ref="AR34" ca="1">GetPin_RA8D1_32SD_MIPI</f>
        <v>0</v>
      </c>
      <c r="AS34" cm="1">
        <f t="array" aca="1" ref="AS34" ca="1">GetPin_RA8D1_32SD_MIPI</f>
        <v>0</v>
      </c>
      <c r="AT34" cm="1">
        <f t="array" aca="1" ref="AT34" ca="1">GetPin_RA8D1_32SD_MIPI</f>
        <v>0</v>
      </c>
      <c r="AU34" cm="1">
        <f t="array" aca="1" ref="AU34" ca="1">GetPin_RA8D1_32SD_MIPI</f>
        <v>0</v>
      </c>
      <c r="AV34" cm="1">
        <f t="array" aca="1" ref="AV34" ca="1">GetPin_RA8D1_32SD_MIPI</f>
        <v>0</v>
      </c>
      <c r="AW34" cm="1">
        <f t="array" aca="1" ref="AW34" ca="1">GetPin_RA8D1_32SD_MIPI</f>
        <v>0</v>
      </c>
      <c r="AX34" cm="1">
        <f t="array" aca="1" ref="AX34" ca="1">GetPin_RA8D1_32SD_MIPI</f>
        <v>0</v>
      </c>
      <c r="AY34" cm="1">
        <f t="array" aca="1" ref="AY34" ca="1">GetPin_RA8D1_32SD_MIPI</f>
        <v>0</v>
      </c>
      <c r="AZ34" cm="1">
        <f t="array" aca="1" ref="AZ34" ca="1">GetPin_RA8D1_32SD_MIPI</f>
        <v>0</v>
      </c>
      <c r="BA34" cm="1">
        <f t="array" aca="1" ref="BA34" ca="1">GetPin_RA8D1_32SD_MIPI</f>
        <v>0</v>
      </c>
      <c r="BB34" cm="1">
        <f t="array" aca="1" ref="BB34" ca="1">GetPin_RA8D1_32SD_MIPI</f>
        <v>0</v>
      </c>
      <c r="BC34" cm="1">
        <f t="array" aca="1" ref="BC34" ca="1">GetPin_RA8D1_32SD_MIPI</f>
        <v>0</v>
      </c>
      <c r="BD34" cm="1">
        <f t="array" aca="1" ref="BD34" ca="1">GetPin_RA8D1_32SD_MIPI</f>
        <v>0</v>
      </c>
      <c r="BG34">
        <v>14</v>
      </c>
    </row>
    <row r="35" spans="17:59" x14ac:dyDescent="0.25">
      <c r="Q35">
        <f>IF(ISBLANK(BoardBTB!Q35),-1,(COUNTIF(U35:BD35,4)*4+IF(COUNTIF(U35:BD35,2),1,0)*2+IF(COUNTIF(U35:BD35,1),1,0)))</f>
        <v>-1</v>
      </c>
      <c r="R35">
        <f>IF(ISBLANK(BoardBTB!R35),-1,(COUNTIF(U35:BD35,4)*4+IF(COUNTIF(U35:BD35,2),1,0)*2+IF(COUNTIF(U35:BD35,1),1,0)))</f>
        <v>-1</v>
      </c>
      <c r="S35">
        <f>IF(ISBLANK(BoardBTB!S35),-1,(COUNTIF(U35:BD35,4)*4+IF(COUNTIF(U35:BD35,2),1,0)*2+IF(COUNTIF(U35:BD35,1),1,0)))</f>
        <v>-1</v>
      </c>
      <c r="T35">
        <f ca="1">IF(ISBLANK(BoardBTB!T35),-1,(COUNTIF(U35:BD35,4)*4+IF(COUNTIF(U35:BD35,2),1,0)*2+IF(COUNTIF(U35:BD35,1),1,0)))</f>
        <v>0</v>
      </c>
      <c r="U35" cm="1">
        <f t="array" aca="1" ref="U35" ca="1">GetPin_RA8D1_32SD_MIPI</f>
        <v>0</v>
      </c>
      <c r="V35" cm="1">
        <f t="array" aca="1" ref="V35" ca="1">GetPin_RA8D1_32SD_MIPI</f>
        <v>0</v>
      </c>
      <c r="W35" cm="1">
        <f t="array" aca="1" ref="W35" ca="1">GetPin_RA8D1_32SD_MIPI</f>
        <v>0</v>
      </c>
      <c r="X35" cm="1">
        <f t="array" aca="1" ref="X35" ca="1">GetPin_RA8D1_32SD_MIPI</f>
        <v>0</v>
      </c>
      <c r="Y35" cm="1">
        <f t="array" aca="1" ref="Y35" ca="1">GetPin_RA8D1_32SD_MIPI</f>
        <v>0</v>
      </c>
      <c r="Z35" cm="1">
        <f t="array" aca="1" ref="Z35" ca="1">GetPin_RA8D1_32SD_MIPI</f>
        <v>0</v>
      </c>
      <c r="AA35" cm="1">
        <f t="array" aca="1" ref="AA35" ca="1">GetPin_RA8D1_32SD_MIPI</f>
        <v>0</v>
      </c>
      <c r="AB35" cm="1">
        <f t="array" aca="1" ref="AB35" ca="1">GetPin_RA8D1_32SD_MIPI</f>
        <v>0</v>
      </c>
      <c r="AC35" cm="1">
        <f t="array" aca="1" ref="AC35" ca="1">GetPin_RA8D1_32SD_MIPI</f>
        <v>0</v>
      </c>
      <c r="AD35" cm="1">
        <f t="array" aca="1" ref="AD35" ca="1">GetPin_RA8D1_32SD_MIPI</f>
        <v>0</v>
      </c>
      <c r="AE35" cm="1">
        <f t="array" aca="1" ref="AE35" ca="1">GetPin_RA8D1_32SD_MIPI</f>
        <v>0</v>
      </c>
      <c r="AF35" cm="1">
        <f t="array" aca="1" ref="AF35" ca="1">GetPin_RA8D1_32SD_MIPI</f>
        <v>0</v>
      </c>
      <c r="AG35" cm="1">
        <f t="array" aca="1" ref="AG35" ca="1">GetPin_RA8D1_32SD_MIPI</f>
        <v>0</v>
      </c>
      <c r="AH35" cm="1">
        <f t="array" aca="1" ref="AH35" ca="1">GetPin_RA8D1_32SD_MIPI</f>
        <v>0</v>
      </c>
      <c r="AI35" cm="1">
        <f t="array" aca="1" ref="AI35" ca="1">GetPin_RA8D1_32SD_MIPI</f>
        <v>0</v>
      </c>
      <c r="AJ35" cm="1">
        <f t="array" aca="1" ref="AJ35" ca="1">GetPin_RA8D1_32SD_MIPI</f>
        <v>0</v>
      </c>
      <c r="AK35" cm="1">
        <f t="array" aca="1" ref="AK35" ca="1">GetPin_RA8D1_32SD_MIPI</f>
        <v>0</v>
      </c>
      <c r="AL35" cm="1">
        <f t="array" aca="1" ref="AL35" ca="1">GetPin_RA8D1_32SD_MIPI</f>
        <v>0</v>
      </c>
      <c r="AM35" cm="1">
        <f t="array" aca="1" ref="AM35" ca="1">GetPin_RA8D1_32SD_MIPI</f>
        <v>0</v>
      </c>
      <c r="AN35" cm="1">
        <f t="array" aca="1" ref="AN35" ca="1">GetPin_RA8D1_32SD_MIPI</f>
        <v>0</v>
      </c>
      <c r="AO35" cm="1">
        <f t="array" aca="1" ref="AO35" ca="1">GetPin_RA8D1_32SD_MIPI</f>
        <v>0</v>
      </c>
      <c r="AP35" cm="1">
        <f t="array" aca="1" ref="AP35" ca="1">GetPin_RA8D1_32SD_MIPI</f>
        <v>0</v>
      </c>
      <c r="AQ35" cm="1">
        <f t="array" aca="1" ref="AQ35" ca="1">GetPin_RA8D1_32SD_MIPI</f>
        <v>0</v>
      </c>
      <c r="AR35" cm="1">
        <f t="array" aca="1" ref="AR35" ca="1">GetPin_RA8D1_32SD_MIPI</f>
        <v>0</v>
      </c>
      <c r="AS35" cm="1">
        <f t="array" aca="1" ref="AS35" ca="1">GetPin_RA8D1_32SD_MIPI</f>
        <v>0</v>
      </c>
      <c r="AT35" cm="1">
        <f t="array" aca="1" ref="AT35" ca="1">GetPin_RA8D1_32SD_MIPI</f>
        <v>0</v>
      </c>
      <c r="AU35" cm="1">
        <f t="array" aca="1" ref="AU35" ca="1">GetPin_RA8D1_32SD_MIPI</f>
        <v>0</v>
      </c>
      <c r="AV35" cm="1">
        <f t="array" aca="1" ref="AV35" ca="1">GetPin_RA8D1_32SD_MIPI</f>
        <v>0</v>
      </c>
      <c r="AW35" cm="1">
        <f t="array" aca="1" ref="AW35" ca="1">GetPin_RA8D1_32SD_MIPI</f>
        <v>0</v>
      </c>
      <c r="AX35" cm="1">
        <f t="array" aca="1" ref="AX35" ca="1">GetPin_RA8D1_32SD_MIPI</f>
        <v>0</v>
      </c>
      <c r="AY35" cm="1">
        <f t="array" aca="1" ref="AY35" ca="1">GetPin_RA8D1_32SD_MIPI</f>
        <v>0</v>
      </c>
      <c r="AZ35" cm="1">
        <f t="array" aca="1" ref="AZ35" ca="1">GetPin_RA8D1_32SD_MIPI</f>
        <v>0</v>
      </c>
      <c r="BA35" cm="1">
        <f t="array" aca="1" ref="BA35" ca="1">GetPin_RA8D1_32SD_MIPI</f>
        <v>0</v>
      </c>
      <c r="BB35" cm="1">
        <f t="array" aca="1" ref="BB35" ca="1">GetPin_RA8D1_32SD_MIPI</f>
        <v>0</v>
      </c>
      <c r="BC35" cm="1">
        <f t="array" aca="1" ref="BC35" ca="1">GetPin_RA8D1_32SD_MIPI</f>
        <v>0</v>
      </c>
      <c r="BD35" cm="1">
        <f t="array" aca="1" ref="BD35" ca="1">GetPin_RA8D1_32SD_MIPI</f>
        <v>0</v>
      </c>
      <c r="BG35">
        <v>15</v>
      </c>
    </row>
    <row r="36" spans="17:59" x14ac:dyDescent="0.25">
      <c r="Q36">
        <f>IF(ISBLANK(BoardBTB!Q36),-1,(COUNTIF(U36:BD36,4)*4+IF(COUNTIF(U36:BD36,2),1,0)*2+IF(COUNTIF(U36:BD36,1),1,0)))</f>
        <v>-1</v>
      </c>
      <c r="R36">
        <f>IF(ISBLANK(BoardBTB!R36),-1,(COUNTIF(U36:BD36,4)*4+IF(COUNTIF(U36:BD36,2),1,0)*2+IF(COUNTIF(U36:BD36,1),1,0)))</f>
        <v>-1</v>
      </c>
      <c r="S36">
        <f>IF(ISBLANK(BoardBTB!S36),-1,(COUNTIF(U36:BD36,4)*4+IF(COUNTIF(U36:BD36,2),1,0)*2+IF(COUNTIF(U36:BD36,1),1,0)))</f>
        <v>-1</v>
      </c>
      <c r="T36">
        <f ca="1">IF(ISBLANK(BoardBTB!T36),-1,(COUNTIF(U36:BD36,4)*4+IF(COUNTIF(U36:BD36,2),1,0)*2+IF(COUNTIF(U36:BD36,1),1,0)))</f>
        <v>0</v>
      </c>
      <c r="U36" cm="1">
        <f t="array" aca="1" ref="U36" ca="1">GetPin_RA8D1_32SD_MIPI</f>
        <v>0</v>
      </c>
      <c r="V36" cm="1">
        <f t="array" aca="1" ref="V36" ca="1">GetPin_RA8D1_32SD_MIPI</f>
        <v>0</v>
      </c>
      <c r="W36" cm="1">
        <f t="array" aca="1" ref="W36" ca="1">GetPin_RA8D1_32SD_MIPI</f>
        <v>0</v>
      </c>
      <c r="X36" cm="1">
        <f t="array" aca="1" ref="X36" ca="1">GetPin_RA8D1_32SD_MIPI</f>
        <v>0</v>
      </c>
      <c r="Y36" cm="1">
        <f t="array" aca="1" ref="Y36" ca="1">GetPin_RA8D1_32SD_MIPI</f>
        <v>0</v>
      </c>
      <c r="Z36" cm="1">
        <f t="array" aca="1" ref="Z36" ca="1">GetPin_RA8D1_32SD_MIPI</f>
        <v>0</v>
      </c>
      <c r="AA36" cm="1">
        <f t="array" aca="1" ref="AA36" ca="1">GetPin_RA8D1_32SD_MIPI</f>
        <v>0</v>
      </c>
      <c r="AB36" cm="1">
        <f t="array" aca="1" ref="AB36" ca="1">GetPin_RA8D1_32SD_MIPI</f>
        <v>0</v>
      </c>
      <c r="AC36" cm="1">
        <f t="array" aca="1" ref="AC36" ca="1">GetPin_RA8D1_32SD_MIPI</f>
        <v>0</v>
      </c>
      <c r="AD36" cm="1">
        <f t="array" aca="1" ref="AD36" ca="1">GetPin_RA8D1_32SD_MIPI</f>
        <v>0</v>
      </c>
      <c r="AE36" cm="1">
        <f t="array" aca="1" ref="AE36" ca="1">GetPin_RA8D1_32SD_MIPI</f>
        <v>0</v>
      </c>
      <c r="AF36" cm="1">
        <f t="array" aca="1" ref="AF36" ca="1">GetPin_RA8D1_32SD_MIPI</f>
        <v>0</v>
      </c>
      <c r="AG36" cm="1">
        <f t="array" aca="1" ref="AG36" ca="1">GetPin_RA8D1_32SD_MIPI</f>
        <v>0</v>
      </c>
      <c r="AH36" cm="1">
        <f t="array" aca="1" ref="AH36" ca="1">GetPin_RA8D1_32SD_MIPI</f>
        <v>0</v>
      </c>
      <c r="AI36" cm="1">
        <f t="array" aca="1" ref="AI36" ca="1">GetPin_RA8D1_32SD_MIPI</f>
        <v>0</v>
      </c>
      <c r="AJ36" cm="1">
        <f t="array" aca="1" ref="AJ36" ca="1">GetPin_RA8D1_32SD_MIPI</f>
        <v>0</v>
      </c>
      <c r="AK36" cm="1">
        <f t="array" aca="1" ref="AK36" ca="1">GetPin_RA8D1_32SD_MIPI</f>
        <v>0</v>
      </c>
      <c r="AL36" cm="1">
        <f t="array" aca="1" ref="AL36" ca="1">GetPin_RA8D1_32SD_MIPI</f>
        <v>0</v>
      </c>
      <c r="AM36" cm="1">
        <f t="array" aca="1" ref="AM36" ca="1">GetPin_RA8D1_32SD_MIPI</f>
        <v>0</v>
      </c>
      <c r="AN36" cm="1">
        <f t="array" aca="1" ref="AN36" ca="1">GetPin_RA8D1_32SD_MIPI</f>
        <v>0</v>
      </c>
      <c r="AO36" cm="1">
        <f t="array" aca="1" ref="AO36" ca="1">GetPin_RA8D1_32SD_MIPI</f>
        <v>0</v>
      </c>
      <c r="AP36" cm="1">
        <f t="array" aca="1" ref="AP36" ca="1">GetPin_RA8D1_32SD_MIPI</f>
        <v>0</v>
      </c>
      <c r="AQ36" cm="1">
        <f t="array" aca="1" ref="AQ36" ca="1">GetPin_RA8D1_32SD_MIPI</f>
        <v>0</v>
      </c>
      <c r="AR36" cm="1">
        <f t="array" aca="1" ref="AR36" ca="1">GetPin_RA8D1_32SD_MIPI</f>
        <v>0</v>
      </c>
      <c r="AS36" cm="1">
        <f t="array" aca="1" ref="AS36" ca="1">GetPin_RA8D1_32SD_MIPI</f>
        <v>0</v>
      </c>
      <c r="AT36" cm="1">
        <f t="array" aca="1" ref="AT36" ca="1">GetPin_RA8D1_32SD_MIPI</f>
        <v>0</v>
      </c>
      <c r="AU36" cm="1">
        <f t="array" aca="1" ref="AU36" ca="1">GetPin_RA8D1_32SD_MIPI</f>
        <v>0</v>
      </c>
      <c r="AV36" cm="1">
        <f t="array" aca="1" ref="AV36" ca="1">GetPin_RA8D1_32SD_MIPI</f>
        <v>0</v>
      </c>
      <c r="AW36" cm="1">
        <f t="array" aca="1" ref="AW36" ca="1">GetPin_RA8D1_32SD_MIPI</f>
        <v>0</v>
      </c>
      <c r="AX36" cm="1">
        <f t="array" aca="1" ref="AX36" ca="1">GetPin_RA8D1_32SD_MIPI</f>
        <v>0</v>
      </c>
      <c r="AY36" cm="1">
        <f t="array" aca="1" ref="AY36" ca="1">GetPin_RA8D1_32SD_MIPI</f>
        <v>0</v>
      </c>
      <c r="AZ36" cm="1">
        <f t="array" aca="1" ref="AZ36" ca="1">GetPin_RA8D1_32SD_MIPI</f>
        <v>0</v>
      </c>
      <c r="BA36" cm="1">
        <f t="array" aca="1" ref="BA36" ca="1">GetPin_RA8D1_32SD_MIPI</f>
        <v>0</v>
      </c>
      <c r="BB36" cm="1">
        <f t="array" aca="1" ref="BB36" ca="1">GetPin_RA8D1_32SD_MIPI</f>
        <v>0</v>
      </c>
      <c r="BC36" cm="1">
        <f t="array" aca="1" ref="BC36" ca="1">GetPin_RA8D1_32SD_MIPI</f>
        <v>0</v>
      </c>
      <c r="BD36" cm="1">
        <f t="array" aca="1" ref="BD36" ca="1">GetPin_RA8D1_32SD_MIPI</f>
        <v>0</v>
      </c>
      <c r="BG36">
        <v>16</v>
      </c>
    </row>
    <row r="37" spans="17:59" x14ac:dyDescent="0.25">
      <c r="Q37">
        <f>IF(ISBLANK(BoardBTB!Q37),-1,(COUNTIF(U37:BD37,4)*4+IF(COUNTIF(U37:BD37,2),1,0)*2+IF(COUNTIF(U37:BD37,1),1,0)))</f>
        <v>-1</v>
      </c>
      <c r="R37">
        <f>IF(ISBLANK(BoardBTB!R37),-1,(COUNTIF(U37:BD37,4)*4+IF(COUNTIF(U37:BD37,2),1,0)*2+IF(COUNTIF(U37:BD37,1),1,0)))</f>
        <v>-1</v>
      </c>
      <c r="S37">
        <f>IF(ISBLANK(BoardBTB!S37),-1,(COUNTIF(U37:BD37,4)*4+IF(COUNTIF(U37:BD37,2),1,0)*2+IF(COUNTIF(U37:BD37,1),1,0)))</f>
        <v>-1</v>
      </c>
      <c r="T37">
        <f ca="1">IF(ISBLANK(BoardBTB!T37),-1,(COUNTIF(U37:BD37,4)*4+IF(COUNTIF(U37:BD37,2),1,0)*2+IF(COUNTIF(U37:BD37,1),1,0)))</f>
        <v>0</v>
      </c>
      <c r="U37" cm="1">
        <f t="array" aca="1" ref="U37" ca="1">GetPin_RA8D1_32SD_MIPI</f>
        <v>0</v>
      </c>
      <c r="V37" cm="1">
        <f t="array" aca="1" ref="V37" ca="1">GetPin_RA8D1_32SD_MIPI</f>
        <v>0</v>
      </c>
      <c r="W37" cm="1">
        <f t="array" aca="1" ref="W37" ca="1">GetPin_RA8D1_32SD_MIPI</f>
        <v>0</v>
      </c>
      <c r="X37" cm="1">
        <f t="array" aca="1" ref="X37" ca="1">GetPin_RA8D1_32SD_MIPI</f>
        <v>0</v>
      </c>
      <c r="Y37" cm="1">
        <f t="array" aca="1" ref="Y37" ca="1">GetPin_RA8D1_32SD_MIPI</f>
        <v>0</v>
      </c>
      <c r="Z37" cm="1">
        <f t="array" aca="1" ref="Z37" ca="1">GetPin_RA8D1_32SD_MIPI</f>
        <v>0</v>
      </c>
      <c r="AA37" cm="1">
        <f t="array" aca="1" ref="AA37" ca="1">GetPin_RA8D1_32SD_MIPI</f>
        <v>0</v>
      </c>
      <c r="AB37" cm="1">
        <f t="array" aca="1" ref="AB37" ca="1">GetPin_RA8D1_32SD_MIPI</f>
        <v>0</v>
      </c>
      <c r="AC37" cm="1">
        <f t="array" aca="1" ref="AC37" ca="1">GetPin_RA8D1_32SD_MIPI</f>
        <v>0</v>
      </c>
      <c r="AD37" cm="1">
        <f t="array" aca="1" ref="AD37" ca="1">GetPin_RA8D1_32SD_MIPI</f>
        <v>0</v>
      </c>
      <c r="AE37" cm="1">
        <f t="array" aca="1" ref="AE37" ca="1">GetPin_RA8D1_32SD_MIPI</f>
        <v>0</v>
      </c>
      <c r="AF37" cm="1">
        <f t="array" aca="1" ref="AF37" ca="1">GetPin_RA8D1_32SD_MIPI</f>
        <v>0</v>
      </c>
      <c r="AG37" cm="1">
        <f t="array" aca="1" ref="AG37" ca="1">GetPin_RA8D1_32SD_MIPI</f>
        <v>0</v>
      </c>
      <c r="AH37" cm="1">
        <f t="array" aca="1" ref="AH37" ca="1">GetPin_RA8D1_32SD_MIPI</f>
        <v>0</v>
      </c>
      <c r="AI37" cm="1">
        <f t="array" aca="1" ref="AI37" ca="1">GetPin_RA8D1_32SD_MIPI</f>
        <v>0</v>
      </c>
      <c r="AJ37" cm="1">
        <f t="array" aca="1" ref="AJ37" ca="1">GetPin_RA8D1_32SD_MIPI</f>
        <v>0</v>
      </c>
      <c r="AK37" cm="1">
        <f t="array" aca="1" ref="AK37" ca="1">GetPin_RA8D1_32SD_MIPI</f>
        <v>0</v>
      </c>
      <c r="AL37" cm="1">
        <f t="array" aca="1" ref="AL37" ca="1">GetPin_RA8D1_32SD_MIPI</f>
        <v>0</v>
      </c>
      <c r="AM37" cm="1">
        <f t="array" aca="1" ref="AM37" ca="1">GetPin_RA8D1_32SD_MIPI</f>
        <v>0</v>
      </c>
      <c r="AN37" cm="1">
        <f t="array" aca="1" ref="AN37" ca="1">GetPin_RA8D1_32SD_MIPI</f>
        <v>0</v>
      </c>
      <c r="AO37" cm="1">
        <f t="array" aca="1" ref="AO37" ca="1">GetPin_RA8D1_32SD_MIPI</f>
        <v>0</v>
      </c>
      <c r="AP37" cm="1">
        <f t="array" aca="1" ref="AP37" ca="1">GetPin_RA8D1_32SD_MIPI</f>
        <v>0</v>
      </c>
      <c r="AQ37" cm="1">
        <f t="array" aca="1" ref="AQ37" ca="1">GetPin_RA8D1_32SD_MIPI</f>
        <v>0</v>
      </c>
      <c r="AR37" cm="1">
        <f t="array" aca="1" ref="AR37" ca="1">GetPin_RA8D1_32SD_MIPI</f>
        <v>0</v>
      </c>
      <c r="AS37" cm="1">
        <f t="array" aca="1" ref="AS37" ca="1">GetPin_RA8D1_32SD_MIPI</f>
        <v>0</v>
      </c>
      <c r="AT37" cm="1">
        <f t="array" aca="1" ref="AT37" ca="1">GetPin_RA8D1_32SD_MIPI</f>
        <v>0</v>
      </c>
      <c r="AU37" cm="1">
        <f t="array" aca="1" ref="AU37" ca="1">GetPin_RA8D1_32SD_MIPI</f>
        <v>0</v>
      </c>
      <c r="AV37" cm="1">
        <f t="array" aca="1" ref="AV37" ca="1">GetPin_RA8D1_32SD_MIPI</f>
        <v>0</v>
      </c>
      <c r="AW37" cm="1">
        <f t="array" aca="1" ref="AW37" ca="1">GetPin_RA8D1_32SD_MIPI</f>
        <v>0</v>
      </c>
      <c r="AX37" cm="1">
        <f t="array" aca="1" ref="AX37" ca="1">GetPin_RA8D1_32SD_MIPI</f>
        <v>0</v>
      </c>
      <c r="AY37" cm="1">
        <f t="array" aca="1" ref="AY37" ca="1">GetPin_RA8D1_32SD_MIPI</f>
        <v>0</v>
      </c>
      <c r="AZ37" cm="1">
        <f t="array" aca="1" ref="AZ37" ca="1">GetPin_RA8D1_32SD_MIPI</f>
        <v>0</v>
      </c>
      <c r="BA37" cm="1">
        <f t="array" aca="1" ref="BA37" ca="1">GetPin_RA8D1_32SD_MIPI</f>
        <v>0</v>
      </c>
      <c r="BB37" cm="1">
        <f t="array" aca="1" ref="BB37" ca="1">GetPin_RA8D1_32SD_MIPI</f>
        <v>0</v>
      </c>
      <c r="BC37" cm="1">
        <f t="array" aca="1" ref="BC37" ca="1">GetPin_RA8D1_32SD_MIPI</f>
        <v>0</v>
      </c>
      <c r="BD37" cm="1">
        <f t="array" aca="1" ref="BD37" ca="1">GetPin_RA8D1_32SD_MIPI</f>
        <v>0</v>
      </c>
      <c r="BG37">
        <v>17</v>
      </c>
    </row>
    <row r="38" spans="17:59" x14ac:dyDescent="0.25">
      <c r="Q38">
        <f>IF(ISBLANK(BoardBTB!Q38),-1,(COUNTIF(U38:BD38,4)*4+IF(COUNTIF(U38:BD38,2),1,0)*2+IF(COUNTIF(U38:BD38,1),1,0)))</f>
        <v>-1</v>
      </c>
      <c r="R38">
        <f>IF(ISBLANK(BoardBTB!R38),-1,(COUNTIF(U38:BD38,4)*4+IF(COUNTIF(U38:BD38,2),1,0)*2+IF(COUNTIF(U38:BD38,1),1,0)))</f>
        <v>-1</v>
      </c>
      <c r="S38">
        <f>IF(ISBLANK(BoardBTB!S38),-1,(COUNTIF(U38:BD38,4)*4+IF(COUNTIF(U38:BD38,2),1,0)*2+IF(COUNTIF(U38:BD38,1),1,0)))</f>
        <v>-1</v>
      </c>
      <c r="T38">
        <f ca="1">IF(ISBLANK(BoardBTB!T38),-1,(COUNTIF(U38:BD38,4)*4+IF(COUNTIF(U38:BD38,2),1,0)*2+IF(COUNTIF(U38:BD38,1),1,0)))</f>
        <v>0</v>
      </c>
      <c r="U38" cm="1">
        <f t="array" aca="1" ref="U38" ca="1">GetPin_RA8D1_32SD_MIPI</f>
        <v>0</v>
      </c>
      <c r="V38" cm="1">
        <f t="array" aca="1" ref="V38" ca="1">GetPin_RA8D1_32SD_MIPI</f>
        <v>0</v>
      </c>
      <c r="W38" cm="1">
        <f t="array" aca="1" ref="W38" ca="1">GetPin_RA8D1_32SD_MIPI</f>
        <v>0</v>
      </c>
      <c r="X38" cm="1">
        <f t="array" aca="1" ref="X38" ca="1">GetPin_RA8D1_32SD_MIPI</f>
        <v>0</v>
      </c>
      <c r="Y38" cm="1">
        <f t="array" aca="1" ref="Y38" ca="1">GetPin_RA8D1_32SD_MIPI</f>
        <v>0</v>
      </c>
      <c r="Z38" cm="1">
        <f t="array" aca="1" ref="Z38" ca="1">GetPin_RA8D1_32SD_MIPI</f>
        <v>0</v>
      </c>
      <c r="AA38" cm="1">
        <f t="array" aca="1" ref="AA38" ca="1">GetPin_RA8D1_32SD_MIPI</f>
        <v>0</v>
      </c>
      <c r="AB38" cm="1">
        <f t="array" aca="1" ref="AB38" ca="1">GetPin_RA8D1_32SD_MIPI</f>
        <v>0</v>
      </c>
      <c r="AC38" cm="1">
        <f t="array" aca="1" ref="AC38" ca="1">GetPin_RA8D1_32SD_MIPI</f>
        <v>0</v>
      </c>
      <c r="AD38" cm="1">
        <f t="array" aca="1" ref="AD38" ca="1">GetPin_RA8D1_32SD_MIPI</f>
        <v>0</v>
      </c>
      <c r="AE38" cm="1">
        <f t="array" aca="1" ref="AE38" ca="1">GetPin_RA8D1_32SD_MIPI</f>
        <v>0</v>
      </c>
      <c r="AF38" cm="1">
        <f t="array" aca="1" ref="AF38" ca="1">GetPin_RA8D1_32SD_MIPI</f>
        <v>0</v>
      </c>
      <c r="AG38" cm="1">
        <f t="array" aca="1" ref="AG38" ca="1">GetPin_RA8D1_32SD_MIPI</f>
        <v>0</v>
      </c>
      <c r="AH38" cm="1">
        <f t="array" aca="1" ref="AH38" ca="1">GetPin_RA8D1_32SD_MIPI</f>
        <v>0</v>
      </c>
      <c r="AI38" cm="1">
        <f t="array" aca="1" ref="AI38" ca="1">GetPin_RA8D1_32SD_MIPI</f>
        <v>0</v>
      </c>
      <c r="AJ38" cm="1">
        <f t="array" aca="1" ref="AJ38" ca="1">GetPin_RA8D1_32SD_MIPI</f>
        <v>0</v>
      </c>
      <c r="AK38" cm="1">
        <f t="array" aca="1" ref="AK38" ca="1">GetPin_RA8D1_32SD_MIPI</f>
        <v>0</v>
      </c>
      <c r="AL38" cm="1">
        <f t="array" aca="1" ref="AL38" ca="1">GetPin_RA8D1_32SD_MIPI</f>
        <v>0</v>
      </c>
      <c r="AM38" cm="1">
        <f t="array" aca="1" ref="AM38" ca="1">GetPin_RA8D1_32SD_MIPI</f>
        <v>0</v>
      </c>
      <c r="AN38" cm="1">
        <f t="array" aca="1" ref="AN38" ca="1">GetPin_RA8D1_32SD_MIPI</f>
        <v>0</v>
      </c>
      <c r="AO38" cm="1">
        <f t="array" aca="1" ref="AO38" ca="1">GetPin_RA8D1_32SD_MIPI</f>
        <v>0</v>
      </c>
      <c r="AP38" cm="1">
        <f t="array" aca="1" ref="AP38" ca="1">GetPin_RA8D1_32SD_MIPI</f>
        <v>0</v>
      </c>
      <c r="AQ38" cm="1">
        <f t="array" aca="1" ref="AQ38" ca="1">GetPin_RA8D1_32SD_MIPI</f>
        <v>0</v>
      </c>
      <c r="AR38" cm="1">
        <f t="array" aca="1" ref="AR38" ca="1">GetPin_RA8D1_32SD_MIPI</f>
        <v>0</v>
      </c>
      <c r="AS38" cm="1">
        <f t="array" aca="1" ref="AS38" ca="1">GetPin_RA8D1_32SD_MIPI</f>
        <v>0</v>
      </c>
      <c r="AT38" cm="1">
        <f t="array" aca="1" ref="AT38" ca="1">GetPin_RA8D1_32SD_MIPI</f>
        <v>0</v>
      </c>
      <c r="AU38" cm="1">
        <f t="array" aca="1" ref="AU38" ca="1">GetPin_RA8D1_32SD_MIPI</f>
        <v>0</v>
      </c>
      <c r="AV38" cm="1">
        <f t="array" aca="1" ref="AV38" ca="1">GetPin_RA8D1_32SD_MIPI</f>
        <v>0</v>
      </c>
      <c r="AW38" cm="1">
        <f t="array" aca="1" ref="AW38" ca="1">GetPin_RA8D1_32SD_MIPI</f>
        <v>0</v>
      </c>
      <c r="AX38" cm="1">
        <f t="array" aca="1" ref="AX38" ca="1">GetPin_RA8D1_32SD_MIPI</f>
        <v>0</v>
      </c>
      <c r="AY38" cm="1">
        <f t="array" aca="1" ref="AY38" ca="1">GetPin_RA8D1_32SD_MIPI</f>
        <v>0</v>
      </c>
      <c r="AZ38" cm="1">
        <f t="array" aca="1" ref="AZ38" ca="1">GetPin_RA8D1_32SD_MIPI</f>
        <v>0</v>
      </c>
      <c r="BA38" cm="1">
        <f t="array" aca="1" ref="BA38" ca="1">GetPin_RA8D1_32SD_MIPI</f>
        <v>0</v>
      </c>
      <c r="BB38" cm="1">
        <f t="array" aca="1" ref="BB38" ca="1">GetPin_RA8D1_32SD_MIPI</f>
        <v>0</v>
      </c>
      <c r="BC38" cm="1">
        <f t="array" aca="1" ref="BC38" ca="1">GetPin_RA8D1_32SD_MIPI</f>
        <v>0</v>
      </c>
      <c r="BD38" cm="1">
        <f t="array" aca="1" ref="BD38" ca="1">GetPin_RA8D1_32SD_MIPI</f>
        <v>0</v>
      </c>
      <c r="BG38">
        <v>18</v>
      </c>
    </row>
    <row r="39" spans="17:59" x14ac:dyDescent="0.25">
      <c r="Q39">
        <f>IF(ISBLANK(BoardBTB!Q39),-1,(COUNTIF(U39:BD39,4)*4+IF(COUNTIF(U39:BD39,2),1,0)*2+IF(COUNTIF(U39:BD39,1),1,0)))</f>
        <v>-1</v>
      </c>
      <c r="R39">
        <f>IF(ISBLANK(BoardBTB!R39),-1,(COUNTIF(U39:BD39,4)*4+IF(COUNTIF(U39:BD39,2),1,0)*2+IF(COUNTIF(U39:BD39,1),1,0)))</f>
        <v>-1</v>
      </c>
      <c r="S39">
        <f>IF(ISBLANK(BoardBTB!S39),-1,(COUNTIF(U39:BD39,4)*4+IF(COUNTIF(U39:BD39,2),1,0)*2+IF(COUNTIF(U39:BD39,1),1,0)))</f>
        <v>-1</v>
      </c>
      <c r="T39">
        <f ca="1">IF(ISBLANK(BoardBTB!T39),-1,(COUNTIF(U39:BD39,4)*4+IF(COUNTIF(U39:BD39,2),1,0)*2+IF(COUNTIF(U39:BD39,1),1,0)))</f>
        <v>0</v>
      </c>
      <c r="U39" cm="1">
        <f t="array" aca="1" ref="U39" ca="1">GetPin_RA8D1_32SD_MIPI</f>
        <v>0</v>
      </c>
      <c r="V39" cm="1">
        <f t="array" aca="1" ref="V39" ca="1">GetPin_RA8D1_32SD_MIPI</f>
        <v>0</v>
      </c>
      <c r="W39" cm="1">
        <f t="array" aca="1" ref="W39" ca="1">GetPin_RA8D1_32SD_MIPI</f>
        <v>0</v>
      </c>
      <c r="X39" cm="1">
        <f t="array" aca="1" ref="X39" ca="1">GetPin_RA8D1_32SD_MIPI</f>
        <v>0</v>
      </c>
      <c r="Y39" cm="1">
        <f t="array" aca="1" ref="Y39" ca="1">GetPin_RA8D1_32SD_MIPI</f>
        <v>0</v>
      </c>
      <c r="Z39" cm="1">
        <f t="array" aca="1" ref="Z39" ca="1">GetPin_RA8D1_32SD_MIPI</f>
        <v>0</v>
      </c>
      <c r="AA39" cm="1">
        <f t="array" aca="1" ref="AA39" ca="1">GetPin_RA8D1_32SD_MIPI</f>
        <v>0</v>
      </c>
      <c r="AB39" cm="1">
        <f t="array" aca="1" ref="AB39" ca="1">GetPin_RA8D1_32SD_MIPI</f>
        <v>0</v>
      </c>
      <c r="AC39" cm="1">
        <f t="array" aca="1" ref="AC39" ca="1">GetPin_RA8D1_32SD_MIPI</f>
        <v>0</v>
      </c>
      <c r="AD39" cm="1">
        <f t="array" aca="1" ref="AD39" ca="1">GetPin_RA8D1_32SD_MIPI</f>
        <v>0</v>
      </c>
      <c r="AE39" cm="1">
        <f t="array" aca="1" ref="AE39" ca="1">GetPin_RA8D1_32SD_MIPI</f>
        <v>0</v>
      </c>
      <c r="AF39" cm="1">
        <f t="array" aca="1" ref="AF39" ca="1">GetPin_RA8D1_32SD_MIPI</f>
        <v>0</v>
      </c>
      <c r="AG39" cm="1">
        <f t="array" aca="1" ref="AG39" ca="1">GetPin_RA8D1_32SD_MIPI</f>
        <v>0</v>
      </c>
      <c r="AH39" cm="1">
        <f t="array" aca="1" ref="AH39" ca="1">GetPin_RA8D1_32SD_MIPI</f>
        <v>0</v>
      </c>
      <c r="AI39" cm="1">
        <f t="array" aca="1" ref="AI39" ca="1">GetPin_RA8D1_32SD_MIPI</f>
        <v>0</v>
      </c>
      <c r="AJ39" cm="1">
        <f t="array" aca="1" ref="AJ39" ca="1">GetPin_RA8D1_32SD_MIPI</f>
        <v>0</v>
      </c>
      <c r="AK39" cm="1">
        <f t="array" aca="1" ref="AK39" ca="1">GetPin_RA8D1_32SD_MIPI</f>
        <v>0</v>
      </c>
      <c r="AL39" cm="1">
        <f t="array" aca="1" ref="AL39" ca="1">GetPin_RA8D1_32SD_MIPI</f>
        <v>0</v>
      </c>
      <c r="AM39" cm="1">
        <f t="array" aca="1" ref="AM39" ca="1">GetPin_RA8D1_32SD_MIPI</f>
        <v>0</v>
      </c>
      <c r="AN39" cm="1">
        <f t="array" aca="1" ref="AN39" ca="1">GetPin_RA8D1_32SD_MIPI</f>
        <v>0</v>
      </c>
      <c r="AO39" cm="1">
        <f t="array" aca="1" ref="AO39" ca="1">GetPin_RA8D1_32SD_MIPI</f>
        <v>0</v>
      </c>
      <c r="AP39" cm="1">
        <f t="array" aca="1" ref="AP39" ca="1">GetPin_RA8D1_32SD_MIPI</f>
        <v>0</v>
      </c>
      <c r="AQ39" cm="1">
        <f t="array" aca="1" ref="AQ39" ca="1">GetPin_RA8D1_32SD_MIPI</f>
        <v>0</v>
      </c>
      <c r="AR39" cm="1">
        <f t="array" aca="1" ref="AR39" ca="1">GetPin_RA8D1_32SD_MIPI</f>
        <v>0</v>
      </c>
      <c r="AS39" cm="1">
        <f t="array" aca="1" ref="AS39" ca="1">GetPin_RA8D1_32SD_MIPI</f>
        <v>0</v>
      </c>
      <c r="AT39" cm="1">
        <f t="array" aca="1" ref="AT39" ca="1">GetPin_RA8D1_32SD_MIPI</f>
        <v>0</v>
      </c>
      <c r="AU39" cm="1">
        <f t="array" aca="1" ref="AU39" ca="1">GetPin_RA8D1_32SD_MIPI</f>
        <v>0</v>
      </c>
      <c r="AV39" cm="1">
        <f t="array" aca="1" ref="AV39" ca="1">GetPin_RA8D1_32SD_MIPI</f>
        <v>0</v>
      </c>
      <c r="AW39" cm="1">
        <f t="array" aca="1" ref="AW39" ca="1">GetPin_RA8D1_32SD_MIPI</f>
        <v>0</v>
      </c>
      <c r="AX39" cm="1">
        <f t="array" aca="1" ref="AX39" ca="1">GetPin_RA8D1_32SD_MIPI</f>
        <v>0</v>
      </c>
      <c r="AY39" cm="1">
        <f t="array" aca="1" ref="AY39" ca="1">GetPin_RA8D1_32SD_MIPI</f>
        <v>0</v>
      </c>
      <c r="AZ39" cm="1">
        <f t="array" aca="1" ref="AZ39" ca="1">GetPin_RA8D1_32SD_MIPI</f>
        <v>0</v>
      </c>
      <c r="BA39" cm="1">
        <f t="array" aca="1" ref="BA39" ca="1">GetPin_RA8D1_32SD_MIPI</f>
        <v>0</v>
      </c>
      <c r="BB39" cm="1">
        <f t="array" aca="1" ref="BB39" ca="1">GetPin_RA8D1_32SD_MIPI</f>
        <v>0</v>
      </c>
      <c r="BC39" cm="1">
        <f t="array" aca="1" ref="BC39" ca="1">GetPin_RA8D1_32SD_MIPI</f>
        <v>0</v>
      </c>
      <c r="BD39" cm="1">
        <f t="array" aca="1" ref="BD39" ca="1">GetPin_RA8D1_32SD_MIPI</f>
        <v>0</v>
      </c>
      <c r="BG39">
        <v>19</v>
      </c>
    </row>
    <row r="40" spans="17:59" x14ac:dyDescent="0.25">
      <c r="Q40">
        <f>IF(ISBLANK(BoardBTB!Q40),-1,(COUNTIF(U40:BD40,4)*4+IF(COUNTIF(U40:BD40,2),1,0)*2+IF(COUNTIF(U40:BD40,1),1,0)))</f>
        <v>-1</v>
      </c>
      <c r="R40">
        <f>IF(ISBLANK(BoardBTB!R40),-1,(COUNTIF(U40:BD40,4)*4+IF(COUNTIF(U40:BD40,2),1,0)*2+IF(COUNTIF(U40:BD40,1),1,0)))</f>
        <v>-1</v>
      </c>
      <c r="S40">
        <f>IF(ISBLANK(BoardBTB!S40),-1,(COUNTIF(U40:BD40,4)*4+IF(COUNTIF(U40:BD40,2),1,0)*2+IF(COUNTIF(U40:BD40,1),1,0)))</f>
        <v>-1</v>
      </c>
      <c r="T40">
        <f ca="1">IF(ISBLANK(BoardBTB!T40),-1,(COUNTIF(U40:BD40,4)*4+IF(COUNTIF(U40:BD40,2),1,0)*2+IF(COUNTIF(U40:BD40,1),1,0)))</f>
        <v>2</v>
      </c>
      <c r="U40" cm="1">
        <f t="array" aca="1" ref="U40" ca="1">GetPin_RA8D1_32SD_MIPI</f>
        <v>0</v>
      </c>
      <c r="V40" cm="1">
        <f t="array" aca="1" ref="V40" ca="1">GetPin_RA8D1_32SD_MIPI</f>
        <v>0</v>
      </c>
      <c r="W40" cm="1">
        <f t="array" aca="1" ref="W40" ca="1">GetPin_RA8D1_32SD_MIPI</f>
        <v>0</v>
      </c>
      <c r="X40" cm="1">
        <f t="array" aca="1" ref="X40" ca="1">GetPin_RA8D1_32SD_MIPI</f>
        <v>0</v>
      </c>
      <c r="Y40" cm="1">
        <f t="array" aca="1" ref="Y40" ca="1">GetPin_RA8D1_32SD_MIPI</f>
        <v>0</v>
      </c>
      <c r="Z40" cm="1">
        <f t="array" aca="1" ref="Z40" ca="1">GetPin_RA8D1_32SD_MIPI</f>
        <v>0</v>
      </c>
      <c r="AA40" cm="1">
        <f t="array" aca="1" ref="AA40" ca="1">GetPin_RA8D1_32SD_MIPI</f>
        <v>0</v>
      </c>
      <c r="AB40" cm="1">
        <f t="array" aca="1" ref="AB40" ca="1">GetPin_RA8D1_32SD_MIPI</f>
        <v>0</v>
      </c>
      <c r="AC40" cm="1">
        <f t="array" aca="1" ref="AC40" ca="1">GetPin_RA8D1_32SD_MIPI</f>
        <v>2</v>
      </c>
      <c r="AD40" cm="1">
        <f t="array" aca="1" ref="AD40" ca="1">GetPin_RA8D1_32SD_MIPI</f>
        <v>0</v>
      </c>
      <c r="AE40" cm="1">
        <f t="array" aca="1" ref="AE40" ca="1">GetPin_RA8D1_32SD_MIPI</f>
        <v>0</v>
      </c>
      <c r="AF40" cm="1">
        <f t="array" aca="1" ref="AF40" ca="1">GetPin_RA8D1_32SD_MIPI</f>
        <v>0</v>
      </c>
      <c r="AG40" cm="1">
        <f t="array" aca="1" ref="AG40" ca="1">GetPin_RA8D1_32SD_MIPI</f>
        <v>0</v>
      </c>
      <c r="AH40" cm="1">
        <f t="array" aca="1" ref="AH40" ca="1">GetPin_RA8D1_32SD_MIPI</f>
        <v>0</v>
      </c>
      <c r="AI40" cm="1">
        <f t="array" aca="1" ref="AI40" ca="1">GetPin_RA8D1_32SD_MIPI</f>
        <v>0</v>
      </c>
      <c r="AJ40" cm="1">
        <f t="array" aca="1" ref="AJ40" ca="1">GetPin_RA8D1_32SD_MIPI</f>
        <v>0</v>
      </c>
      <c r="AK40" cm="1">
        <f t="array" aca="1" ref="AK40" ca="1">GetPin_RA8D1_32SD_MIPI</f>
        <v>0</v>
      </c>
      <c r="AL40" cm="1">
        <f t="array" aca="1" ref="AL40" ca="1">GetPin_RA8D1_32SD_MIPI</f>
        <v>0</v>
      </c>
      <c r="AM40" cm="1">
        <f t="array" aca="1" ref="AM40" ca="1">GetPin_RA8D1_32SD_MIPI</f>
        <v>0</v>
      </c>
      <c r="AN40" cm="1">
        <f t="array" aca="1" ref="AN40" ca="1">GetPin_RA8D1_32SD_MIPI</f>
        <v>0</v>
      </c>
      <c r="AO40" cm="1">
        <f t="array" aca="1" ref="AO40" ca="1">GetPin_RA8D1_32SD_MIPI</f>
        <v>0</v>
      </c>
      <c r="AP40" cm="1">
        <f t="array" aca="1" ref="AP40" ca="1">GetPin_RA8D1_32SD_MIPI</f>
        <v>0</v>
      </c>
      <c r="AQ40" cm="1">
        <f t="array" aca="1" ref="AQ40" ca="1">GetPin_RA8D1_32SD_MIPI</f>
        <v>0</v>
      </c>
      <c r="AR40" cm="1">
        <f t="array" aca="1" ref="AR40" ca="1">GetPin_RA8D1_32SD_MIPI</f>
        <v>0</v>
      </c>
      <c r="AS40" cm="1">
        <f t="array" aca="1" ref="AS40" ca="1">GetPin_RA8D1_32SD_MIPI</f>
        <v>0</v>
      </c>
      <c r="AT40" cm="1">
        <f t="array" aca="1" ref="AT40" ca="1">GetPin_RA8D1_32SD_MIPI</f>
        <v>0</v>
      </c>
      <c r="AU40" cm="1">
        <f t="array" aca="1" ref="AU40" ca="1">GetPin_RA8D1_32SD_MIPI</f>
        <v>0</v>
      </c>
      <c r="AV40" cm="1">
        <f t="array" aca="1" ref="AV40" ca="1">GetPin_RA8D1_32SD_MIPI</f>
        <v>0</v>
      </c>
      <c r="AW40" cm="1">
        <f t="array" aca="1" ref="AW40" ca="1">GetPin_RA8D1_32SD_MIPI</f>
        <v>0</v>
      </c>
      <c r="AX40" cm="1">
        <f t="array" aca="1" ref="AX40" ca="1">GetPin_RA8D1_32SD_MIPI</f>
        <v>0</v>
      </c>
      <c r="AY40" cm="1">
        <f t="array" aca="1" ref="AY40" ca="1">GetPin_RA8D1_32SD_MIPI</f>
        <v>0</v>
      </c>
      <c r="AZ40" cm="1">
        <f t="array" aca="1" ref="AZ40" ca="1">GetPin_RA8D1_32SD_MIPI</f>
        <v>0</v>
      </c>
      <c r="BA40" cm="1">
        <f t="array" aca="1" ref="BA40" ca="1">GetPin_RA8D1_32SD_MIPI</f>
        <v>0</v>
      </c>
      <c r="BB40" cm="1">
        <f t="array" aca="1" ref="BB40" ca="1">GetPin_RA8D1_32SD_MIPI</f>
        <v>0</v>
      </c>
      <c r="BC40" cm="1">
        <f t="array" aca="1" ref="BC40" ca="1">GetPin_RA8D1_32SD_MIPI</f>
        <v>0</v>
      </c>
      <c r="BD40" cm="1">
        <f t="array" aca="1" ref="BD40" ca="1">GetPin_RA8D1_32SD_MIPI</f>
        <v>0</v>
      </c>
      <c r="BG40">
        <v>20</v>
      </c>
    </row>
    <row r="41" spans="17:59" x14ac:dyDescent="0.25">
      <c r="Q41">
        <f>IF(ISBLANK(BoardBTB!Q41),-1,(COUNTIF(U41:BD41,4)*4+IF(COUNTIF(U41:BD41,2),1,0)*2+IF(COUNTIF(U41:BD41,1),1,0)))</f>
        <v>-1</v>
      </c>
      <c r="R41">
        <f>IF(ISBLANK(BoardBTB!R41),-1,(COUNTIF(U41:BD41,4)*4+IF(COUNTIF(U41:BD41,2),1,0)*2+IF(COUNTIF(U41:BD41,1),1,0)))</f>
        <v>-1</v>
      </c>
      <c r="S41">
        <f>IF(ISBLANK(BoardBTB!S41),-1,(COUNTIF(U41:BD41,4)*4+IF(COUNTIF(U41:BD41,2),1,0)*2+IF(COUNTIF(U41:BD41,1),1,0)))</f>
        <v>-1</v>
      </c>
      <c r="T41">
        <f ca="1">IF(ISBLANK(BoardBTB!T41),-1,(COUNTIF(U41:BD41,4)*4+IF(COUNTIF(U41:BD41,2),1,0)*2+IF(COUNTIF(U41:BD41,1),1,0)))</f>
        <v>0</v>
      </c>
      <c r="U41" cm="1">
        <f t="array" aca="1" ref="U41" ca="1">GetPin_RA8D1_32SD_MIPI</f>
        <v>0</v>
      </c>
      <c r="V41" cm="1">
        <f t="array" aca="1" ref="V41" ca="1">GetPin_RA8D1_32SD_MIPI</f>
        <v>0</v>
      </c>
      <c r="W41" cm="1">
        <f t="array" aca="1" ref="W41" ca="1">GetPin_RA8D1_32SD_MIPI</f>
        <v>0</v>
      </c>
      <c r="X41" cm="1">
        <f t="array" aca="1" ref="X41" ca="1">GetPin_RA8D1_32SD_MIPI</f>
        <v>0</v>
      </c>
      <c r="Y41" cm="1">
        <f t="array" aca="1" ref="Y41" ca="1">GetPin_RA8D1_32SD_MIPI</f>
        <v>0</v>
      </c>
      <c r="Z41" cm="1">
        <f t="array" aca="1" ref="Z41" ca="1">GetPin_RA8D1_32SD_MIPI</f>
        <v>0</v>
      </c>
      <c r="AA41" cm="1">
        <f t="array" aca="1" ref="AA41" ca="1">GetPin_RA8D1_32SD_MIPI</f>
        <v>0</v>
      </c>
      <c r="AB41" cm="1">
        <f t="array" aca="1" ref="AB41" ca="1">GetPin_RA8D1_32SD_MIPI</f>
        <v>0</v>
      </c>
      <c r="AC41" cm="1">
        <f t="array" aca="1" ref="AC41" ca="1">GetPin_RA8D1_32SD_MIPI</f>
        <v>0</v>
      </c>
      <c r="AD41" cm="1">
        <f t="array" aca="1" ref="AD41" ca="1">GetPin_RA8D1_32SD_MIPI</f>
        <v>0</v>
      </c>
      <c r="AE41" cm="1">
        <f t="array" aca="1" ref="AE41" ca="1">GetPin_RA8D1_32SD_MIPI</f>
        <v>0</v>
      </c>
      <c r="AF41" cm="1">
        <f t="array" aca="1" ref="AF41" ca="1">GetPin_RA8D1_32SD_MIPI</f>
        <v>0</v>
      </c>
      <c r="AG41" cm="1">
        <f t="array" aca="1" ref="AG41" ca="1">GetPin_RA8D1_32SD_MIPI</f>
        <v>0</v>
      </c>
      <c r="AH41" cm="1">
        <f t="array" aca="1" ref="AH41" ca="1">GetPin_RA8D1_32SD_MIPI</f>
        <v>0</v>
      </c>
      <c r="AI41" cm="1">
        <f t="array" aca="1" ref="AI41" ca="1">GetPin_RA8D1_32SD_MIPI</f>
        <v>0</v>
      </c>
      <c r="AJ41" cm="1">
        <f t="array" aca="1" ref="AJ41" ca="1">GetPin_RA8D1_32SD_MIPI</f>
        <v>0</v>
      </c>
      <c r="AK41" cm="1">
        <f t="array" aca="1" ref="AK41" ca="1">GetPin_RA8D1_32SD_MIPI</f>
        <v>0</v>
      </c>
      <c r="AL41" cm="1">
        <f t="array" aca="1" ref="AL41" ca="1">GetPin_RA8D1_32SD_MIPI</f>
        <v>0</v>
      </c>
      <c r="AM41" cm="1">
        <f t="array" aca="1" ref="AM41" ca="1">GetPin_RA8D1_32SD_MIPI</f>
        <v>0</v>
      </c>
      <c r="AN41" cm="1">
        <f t="array" aca="1" ref="AN41" ca="1">GetPin_RA8D1_32SD_MIPI</f>
        <v>0</v>
      </c>
      <c r="AO41" cm="1">
        <f t="array" aca="1" ref="AO41" ca="1">GetPin_RA8D1_32SD_MIPI</f>
        <v>0</v>
      </c>
      <c r="AP41" cm="1">
        <f t="array" aca="1" ref="AP41" ca="1">GetPin_RA8D1_32SD_MIPI</f>
        <v>0</v>
      </c>
      <c r="AQ41" cm="1">
        <f t="array" aca="1" ref="AQ41" ca="1">GetPin_RA8D1_32SD_MIPI</f>
        <v>0</v>
      </c>
      <c r="AR41" cm="1">
        <f t="array" aca="1" ref="AR41" ca="1">GetPin_RA8D1_32SD_MIPI</f>
        <v>0</v>
      </c>
      <c r="AS41" cm="1">
        <f t="array" aca="1" ref="AS41" ca="1">GetPin_RA8D1_32SD_MIPI</f>
        <v>0</v>
      </c>
      <c r="AT41" cm="1">
        <f t="array" aca="1" ref="AT41" ca="1">GetPin_RA8D1_32SD_MIPI</f>
        <v>0</v>
      </c>
      <c r="AU41" cm="1">
        <f t="array" aca="1" ref="AU41" ca="1">GetPin_RA8D1_32SD_MIPI</f>
        <v>0</v>
      </c>
      <c r="AV41" cm="1">
        <f t="array" aca="1" ref="AV41" ca="1">GetPin_RA8D1_32SD_MIPI</f>
        <v>0</v>
      </c>
      <c r="AW41" cm="1">
        <f t="array" aca="1" ref="AW41" ca="1">GetPin_RA8D1_32SD_MIPI</f>
        <v>0</v>
      </c>
      <c r="AX41" cm="1">
        <f t="array" aca="1" ref="AX41" ca="1">GetPin_RA8D1_32SD_MIPI</f>
        <v>0</v>
      </c>
      <c r="AY41" cm="1">
        <f t="array" aca="1" ref="AY41" ca="1">GetPin_RA8D1_32SD_MIPI</f>
        <v>0</v>
      </c>
      <c r="AZ41" cm="1">
        <f t="array" aca="1" ref="AZ41" ca="1">GetPin_RA8D1_32SD_MIPI</f>
        <v>0</v>
      </c>
      <c r="BA41" cm="1">
        <f t="array" aca="1" ref="BA41" ca="1">GetPin_RA8D1_32SD_MIPI</f>
        <v>0</v>
      </c>
      <c r="BB41" cm="1">
        <f t="array" aca="1" ref="BB41" ca="1">GetPin_RA8D1_32SD_MIPI</f>
        <v>0</v>
      </c>
      <c r="BC41" cm="1">
        <f t="array" aca="1" ref="BC41" ca="1">GetPin_RA8D1_32SD_MIPI</f>
        <v>0</v>
      </c>
      <c r="BD41" cm="1">
        <f t="array" aca="1" ref="BD41" ca="1">GetPin_RA8D1_32SD_MIPI</f>
        <v>0</v>
      </c>
      <c r="BG41">
        <v>21</v>
      </c>
    </row>
    <row r="42" spans="17:59" x14ac:dyDescent="0.25">
      <c r="Q42">
        <f>IF(ISBLANK(BoardBTB!Q42),-1,(COUNTIF(U42:BD42,4)*4+IF(COUNTIF(U42:BD42,2),1,0)*2+IF(COUNTIF(U42:BD42,1),1,0)))</f>
        <v>-1</v>
      </c>
      <c r="R42">
        <f>IF(ISBLANK(BoardBTB!R42),-1,(COUNTIF(U42:BD42,4)*4+IF(COUNTIF(U42:BD42,2),1,0)*2+IF(COUNTIF(U42:BD42,1),1,0)))</f>
        <v>-1</v>
      </c>
      <c r="S42">
        <f>IF(ISBLANK(BoardBTB!S42),-1,(COUNTIF(U42:BD42,4)*4+IF(COUNTIF(U42:BD42,2),1,0)*2+IF(COUNTIF(U42:BD42,1),1,0)))</f>
        <v>-1</v>
      </c>
      <c r="T42">
        <f ca="1">IF(ISBLANK(BoardBTB!T42),-1,(COUNTIF(U42:BD42,4)*4+IF(COUNTIF(U42:BD42,2),1,0)*2+IF(COUNTIF(U42:BD42,1),1,0)))</f>
        <v>0</v>
      </c>
      <c r="U42" cm="1">
        <f t="array" aca="1" ref="U42" ca="1">GetPin_RA8D1_32SD_MIPI</f>
        <v>0</v>
      </c>
      <c r="V42" cm="1">
        <f t="array" aca="1" ref="V42" ca="1">GetPin_RA8D1_32SD_MIPI</f>
        <v>0</v>
      </c>
      <c r="W42" cm="1">
        <f t="array" aca="1" ref="W42" ca="1">GetPin_RA8D1_32SD_MIPI</f>
        <v>0</v>
      </c>
      <c r="X42" cm="1">
        <f t="array" aca="1" ref="X42" ca="1">GetPin_RA8D1_32SD_MIPI</f>
        <v>0</v>
      </c>
      <c r="Y42" cm="1">
        <f t="array" aca="1" ref="Y42" ca="1">GetPin_RA8D1_32SD_MIPI</f>
        <v>0</v>
      </c>
      <c r="Z42" cm="1">
        <f t="array" aca="1" ref="Z42" ca="1">GetPin_RA8D1_32SD_MIPI</f>
        <v>0</v>
      </c>
      <c r="AA42" cm="1">
        <f t="array" aca="1" ref="AA42" ca="1">GetPin_RA8D1_32SD_MIPI</f>
        <v>0</v>
      </c>
      <c r="AB42" cm="1">
        <f t="array" aca="1" ref="AB42" ca="1">GetPin_RA8D1_32SD_MIPI</f>
        <v>0</v>
      </c>
      <c r="AC42" cm="1">
        <f t="array" aca="1" ref="AC42" ca="1">GetPin_RA8D1_32SD_MIPI</f>
        <v>0</v>
      </c>
      <c r="AD42" cm="1">
        <f t="array" aca="1" ref="AD42" ca="1">GetPin_RA8D1_32SD_MIPI</f>
        <v>0</v>
      </c>
      <c r="AE42" cm="1">
        <f t="array" aca="1" ref="AE42" ca="1">GetPin_RA8D1_32SD_MIPI</f>
        <v>0</v>
      </c>
      <c r="AF42" cm="1">
        <f t="array" aca="1" ref="AF42" ca="1">GetPin_RA8D1_32SD_MIPI</f>
        <v>0</v>
      </c>
      <c r="AG42" cm="1">
        <f t="array" aca="1" ref="AG42" ca="1">GetPin_RA8D1_32SD_MIPI</f>
        <v>0</v>
      </c>
      <c r="AH42" cm="1">
        <f t="array" aca="1" ref="AH42" ca="1">GetPin_RA8D1_32SD_MIPI</f>
        <v>0</v>
      </c>
      <c r="AI42" cm="1">
        <f t="array" aca="1" ref="AI42" ca="1">GetPin_RA8D1_32SD_MIPI</f>
        <v>0</v>
      </c>
      <c r="AJ42" cm="1">
        <f t="array" aca="1" ref="AJ42" ca="1">GetPin_RA8D1_32SD_MIPI</f>
        <v>0</v>
      </c>
      <c r="AK42" cm="1">
        <f t="array" aca="1" ref="AK42" ca="1">GetPin_RA8D1_32SD_MIPI</f>
        <v>0</v>
      </c>
      <c r="AL42" cm="1">
        <f t="array" aca="1" ref="AL42" ca="1">GetPin_RA8D1_32SD_MIPI</f>
        <v>0</v>
      </c>
      <c r="AM42" cm="1">
        <f t="array" aca="1" ref="AM42" ca="1">GetPin_RA8D1_32SD_MIPI</f>
        <v>0</v>
      </c>
      <c r="AN42" cm="1">
        <f t="array" aca="1" ref="AN42" ca="1">GetPin_RA8D1_32SD_MIPI</f>
        <v>0</v>
      </c>
      <c r="AO42" cm="1">
        <f t="array" aca="1" ref="AO42" ca="1">GetPin_RA8D1_32SD_MIPI</f>
        <v>0</v>
      </c>
      <c r="AP42" cm="1">
        <f t="array" aca="1" ref="AP42" ca="1">GetPin_RA8D1_32SD_MIPI</f>
        <v>0</v>
      </c>
      <c r="AQ42" cm="1">
        <f t="array" aca="1" ref="AQ42" ca="1">GetPin_RA8D1_32SD_MIPI</f>
        <v>0</v>
      </c>
      <c r="AR42" cm="1">
        <f t="array" aca="1" ref="AR42" ca="1">GetPin_RA8D1_32SD_MIPI</f>
        <v>0</v>
      </c>
      <c r="AS42" cm="1">
        <f t="array" aca="1" ref="AS42" ca="1">GetPin_RA8D1_32SD_MIPI</f>
        <v>0</v>
      </c>
      <c r="AT42" cm="1">
        <f t="array" aca="1" ref="AT42" ca="1">GetPin_RA8D1_32SD_MIPI</f>
        <v>0</v>
      </c>
      <c r="AU42" cm="1">
        <f t="array" aca="1" ref="AU42" ca="1">GetPin_RA8D1_32SD_MIPI</f>
        <v>0</v>
      </c>
      <c r="AV42" cm="1">
        <f t="array" aca="1" ref="AV42" ca="1">GetPin_RA8D1_32SD_MIPI</f>
        <v>0</v>
      </c>
      <c r="AW42" cm="1">
        <f t="array" aca="1" ref="AW42" ca="1">GetPin_RA8D1_32SD_MIPI</f>
        <v>0</v>
      </c>
      <c r="AX42" cm="1">
        <f t="array" aca="1" ref="AX42" ca="1">GetPin_RA8D1_32SD_MIPI</f>
        <v>0</v>
      </c>
      <c r="AY42" cm="1">
        <f t="array" aca="1" ref="AY42" ca="1">GetPin_RA8D1_32SD_MIPI</f>
        <v>0</v>
      </c>
      <c r="AZ42" cm="1">
        <f t="array" aca="1" ref="AZ42" ca="1">GetPin_RA8D1_32SD_MIPI</f>
        <v>0</v>
      </c>
      <c r="BA42" cm="1">
        <f t="array" aca="1" ref="BA42" ca="1">GetPin_RA8D1_32SD_MIPI</f>
        <v>0</v>
      </c>
      <c r="BB42" cm="1">
        <f t="array" aca="1" ref="BB42" ca="1">GetPin_RA8D1_32SD_MIPI</f>
        <v>0</v>
      </c>
      <c r="BC42" cm="1">
        <f t="array" aca="1" ref="BC42" ca="1">GetPin_RA8D1_32SD_MIPI</f>
        <v>0</v>
      </c>
      <c r="BD42" cm="1">
        <f t="array" aca="1" ref="BD42" ca="1">GetPin_RA8D1_32SD_MIPI</f>
        <v>0</v>
      </c>
      <c r="BG42">
        <v>22</v>
      </c>
    </row>
    <row r="43" spans="17:59" x14ac:dyDescent="0.25">
      <c r="Q43">
        <f>IF(ISBLANK(BoardBTB!Q43),-1,(COUNTIF(U43:BD43,4)*4+IF(COUNTIF(U43:BD43,2),1,0)*2+IF(COUNTIF(U43:BD43,1),1,0)))</f>
        <v>-1</v>
      </c>
      <c r="R43">
        <f>IF(ISBLANK(BoardBTB!R43),-1,(COUNTIF(U43:BD43,4)*4+IF(COUNTIF(U43:BD43,2),1,0)*2+IF(COUNTIF(U43:BD43,1),1,0)))</f>
        <v>-1</v>
      </c>
      <c r="S43">
        <f>IF(ISBLANK(BoardBTB!S43),-1,(COUNTIF(U43:BD43,4)*4+IF(COUNTIF(U43:BD43,2),1,0)*2+IF(COUNTIF(U43:BD43,1),1,0)))</f>
        <v>-1</v>
      </c>
      <c r="T43">
        <f ca="1">IF(ISBLANK(BoardBTB!T43),-1,(COUNTIF(U43:BD43,4)*4+IF(COUNTIF(U43:BD43,2),1,0)*2+IF(COUNTIF(U43:BD43,1),1,0)))</f>
        <v>0</v>
      </c>
      <c r="U43" cm="1">
        <f t="array" aca="1" ref="U43" ca="1">GetPin_RA8D1_32SD_MIPI</f>
        <v>0</v>
      </c>
      <c r="V43" cm="1">
        <f t="array" aca="1" ref="V43" ca="1">GetPin_RA8D1_32SD_MIPI</f>
        <v>0</v>
      </c>
      <c r="W43" cm="1">
        <f t="array" aca="1" ref="W43" ca="1">GetPin_RA8D1_32SD_MIPI</f>
        <v>0</v>
      </c>
      <c r="X43" cm="1">
        <f t="array" aca="1" ref="X43" ca="1">GetPin_RA8D1_32SD_MIPI</f>
        <v>0</v>
      </c>
      <c r="Y43" cm="1">
        <f t="array" aca="1" ref="Y43" ca="1">GetPin_RA8D1_32SD_MIPI</f>
        <v>0</v>
      </c>
      <c r="Z43" cm="1">
        <f t="array" aca="1" ref="Z43" ca="1">GetPin_RA8D1_32SD_MIPI</f>
        <v>0</v>
      </c>
      <c r="AA43" cm="1">
        <f t="array" aca="1" ref="AA43" ca="1">GetPin_RA8D1_32SD_MIPI</f>
        <v>0</v>
      </c>
      <c r="AB43" cm="1">
        <f t="array" aca="1" ref="AB43" ca="1">GetPin_RA8D1_32SD_MIPI</f>
        <v>0</v>
      </c>
      <c r="AC43" cm="1">
        <f t="array" aca="1" ref="AC43" ca="1">GetPin_RA8D1_32SD_MIPI</f>
        <v>0</v>
      </c>
      <c r="AD43" cm="1">
        <f t="array" aca="1" ref="AD43" ca="1">GetPin_RA8D1_32SD_MIPI</f>
        <v>0</v>
      </c>
      <c r="AE43" cm="1">
        <f t="array" aca="1" ref="AE43" ca="1">GetPin_RA8D1_32SD_MIPI</f>
        <v>0</v>
      </c>
      <c r="AF43" cm="1">
        <f t="array" aca="1" ref="AF43" ca="1">GetPin_RA8D1_32SD_MIPI</f>
        <v>0</v>
      </c>
      <c r="AG43" cm="1">
        <f t="array" aca="1" ref="AG43" ca="1">GetPin_RA8D1_32SD_MIPI</f>
        <v>0</v>
      </c>
      <c r="AH43" cm="1">
        <f t="array" aca="1" ref="AH43" ca="1">GetPin_RA8D1_32SD_MIPI</f>
        <v>0</v>
      </c>
      <c r="AI43" cm="1">
        <f t="array" aca="1" ref="AI43" ca="1">GetPin_RA8D1_32SD_MIPI</f>
        <v>0</v>
      </c>
      <c r="AJ43" cm="1">
        <f t="array" aca="1" ref="AJ43" ca="1">GetPin_RA8D1_32SD_MIPI</f>
        <v>0</v>
      </c>
      <c r="AK43" cm="1">
        <f t="array" aca="1" ref="AK43" ca="1">GetPin_RA8D1_32SD_MIPI</f>
        <v>0</v>
      </c>
      <c r="AL43" cm="1">
        <f t="array" aca="1" ref="AL43" ca="1">GetPin_RA8D1_32SD_MIPI</f>
        <v>0</v>
      </c>
      <c r="AM43" cm="1">
        <f t="array" aca="1" ref="AM43" ca="1">GetPin_RA8D1_32SD_MIPI</f>
        <v>0</v>
      </c>
      <c r="AN43" cm="1">
        <f t="array" aca="1" ref="AN43" ca="1">GetPin_RA8D1_32SD_MIPI</f>
        <v>0</v>
      </c>
      <c r="AO43" cm="1">
        <f t="array" aca="1" ref="AO43" ca="1">GetPin_RA8D1_32SD_MIPI</f>
        <v>0</v>
      </c>
      <c r="AP43" cm="1">
        <f t="array" aca="1" ref="AP43" ca="1">GetPin_RA8D1_32SD_MIPI</f>
        <v>0</v>
      </c>
      <c r="AQ43" cm="1">
        <f t="array" aca="1" ref="AQ43" ca="1">GetPin_RA8D1_32SD_MIPI</f>
        <v>0</v>
      </c>
      <c r="AR43" cm="1">
        <f t="array" aca="1" ref="AR43" ca="1">GetPin_RA8D1_32SD_MIPI</f>
        <v>0</v>
      </c>
      <c r="AS43" cm="1">
        <f t="array" aca="1" ref="AS43" ca="1">GetPin_RA8D1_32SD_MIPI</f>
        <v>0</v>
      </c>
      <c r="AT43" cm="1">
        <f t="array" aca="1" ref="AT43" ca="1">GetPin_RA8D1_32SD_MIPI</f>
        <v>0</v>
      </c>
      <c r="AU43" cm="1">
        <f t="array" aca="1" ref="AU43" ca="1">GetPin_RA8D1_32SD_MIPI</f>
        <v>0</v>
      </c>
      <c r="AV43" cm="1">
        <f t="array" aca="1" ref="AV43" ca="1">GetPin_RA8D1_32SD_MIPI</f>
        <v>0</v>
      </c>
      <c r="AW43" cm="1">
        <f t="array" aca="1" ref="AW43" ca="1">GetPin_RA8D1_32SD_MIPI</f>
        <v>0</v>
      </c>
      <c r="AX43" cm="1">
        <f t="array" aca="1" ref="AX43" ca="1">GetPin_RA8D1_32SD_MIPI</f>
        <v>0</v>
      </c>
      <c r="AY43" cm="1">
        <f t="array" aca="1" ref="AY43" ca="1">GetPin_RA8D1_32SD_MIPI</f>
        <v>0</v>
      </c>
      <c r="AZ43" cm="1">
        <f t="array" aca="1" ref="AZ43" ca="1">GetPin_RA8D1_32SD_MIPI</f>
        <v>0</v>
      </c>
      <c r="BA43" cm="1">
        <f t="array" aca="1" ref="BA43" ca="1">GetPin_RA8D1_32SD_MIPI</f>
        <v>0</v>
      </c>
      <c r="BB43" cm="1">
        <f t="array" aca="1" ref="BB43" ca="1">GetPin_RA8D1_32SD_MIPI</f>
        <v>0</v>
      </c>
      <c r="BC43" cm="1">
        <f t="array" aca="1" ref="BC43" ca="1">GetPin_RA8D1_32SD_MIPI</f>
        <v>0</v>
      </c>
      <c r="BD43" cm="1">
        <f t="array" aca="1" ref="BD43" ca="1">GetPin_RA8D1_32SD_MIPI</f>
        <v>0</v>
      </c>
      <c r="BG43">
        <v>23</v>
      </c>
    </row>
    <row r="44" spans="17:59" x14ac:dyDescent="0.25">
      <c r="Q44">
        <f>IF(ISBLANK(BoardBTB!Q44),-1,(COUNTIF(U44:BD44,4)*4+IF(COUNTIF(U44:BD44,2),1,0)*2+IF(COUNTIF(U44:BD44,1),1,0)))</f>
        <v>-1</v>
      </c>
      <c r="R44">
        <f>IF(ISBLANK(BoardBTB!R44),-1,(COUNTIF(U44:BD44,4)*4+IF(COUNTIF(U44:BD44,2),1,0)*2+IF(COUNTIF(U44:BD44,1),1,0)))</f>
        <v>-1</v>
      </c>
      <c r="S44">
        <f>IF(ISBLANK(BoardBTB!S44),-1,(COUNTIF(U44:BD44,4)*4+IF(COUNTIF(U44:BD44,2),1,0)*2+IF(COUNTIF(U44:BD44,1),1,0)))</f>
        <v>-1</v>
      </c>
      <c r="T44">
        <f ca="1">IF(ISBLANK(BoardBTB!T44),-1,(COUNTIF(U44:BD44,4)*4+IF(COUNTIF(U44:BD44,2),1,0)*2+IF(COUNTIF(U44:BD44,1),1,0)))</f>
        <v>0</v>
      </c>
      <c r="U44" cm="1">
        <f t="array" aca="1" ref="U44" ca="1">GetPin_RA8D1_32SD_MIPI</f>
        <v>0</v>
      </c>
      <c r="V44" cm="1">
        <f t="array" aca="1" ref="V44" ca="1">GetPin_RA8D1_32SD_MIPI</f>
        <v>0</v>
      </c>
      <c r="W44" cm="1">
        <f t="array" aca="1" ref="W44" ca="1">GetPin_RA8D1_32SD_MIPI</f>
        <v>0</v>
      </c>
      <c r="X44" cm="1">
        <f t="array" aca="1" ref="X44" ca="1">GetPin_RA8D1_32SD_MIPI</f>
        <v>0</v>
      </c>
      <c r="Y44" cm="1">
        <f t="array" aca="1" ref="Y44" ca="1">GetPin_RA8D1_32SD_MIPI</f>
        <v>0</v>
      </c>
      <c r="Z44" cm="1">
        <f t="array" aca="1" ref="Z44" ca="1">GetPin_RA8D1_32SD_MIPI</f>
        <v>0</v>
      </c>
      <c r="AA44" cm="1">
        <f t="array" aca="1" ref="AA44" ca="1">GetPin_RA8D1_32SD_MIPI</f>
        <v>0</v>
      </c>
      <c r="AB44" cm="1">
        <f t="array" aca="1" ref="AB44" ca="1">GetPin_RA8D1_32SD_MIPI</f>
        <v>0</v>
      </c>
      <c r="AC44" cm="1">
        <f t="array" aca="1" ref="AC44" ca="1">GetPin_RA8D1_32SD_MIPI</f>
        <v>0</v>
      </c>
      <c r="AD44" cm="1">
        <f t="array" aca="1" ref="AD44" ca="1">GetPin_RA8D1_32SD_MIPI</f>
        <v>0</v>
      </c>
      <c r="AE44" cm="1">
        <f t="array" aca="1" ref="AE44" ca="1">GetPin_RA8D1_32SD_MIPI</f>
        <v>0</v>
      </c>
      <c r="AF44" cm="1">
        <f t="array" aca="1" ref="AF44" ca="1">GetPin_RA8D1_32SD_MIPI</f>
        <v>0</v>
      </c>
      <c r="AG44" cm="1">
        <f t="array" aca="1" ref="AG44" ca="1">GetPin_RA8D1_32SD_MIPI</f>
        <v>0</v>
      </c>
      <c r="AH44" cm="1">
        <f t="array" aca="1" ref="AH44" ca="1">GetPin_RA8D1_32SD_MIPI</f>
        <v>0</v>
      </c>
      <c r="AI44" cm="1">
        <f t="array" aca="1" ref="AI44" ca="1">GetPin_RA8D1_32SD_MIPI</f>
        <v>0</v>
      </c>
      <c r="AJ44" cm="1">
        <f t="array" aca="1" ref="AJ44" ca="1">GetPin_RA8D1_32SD_MIPI</f>
        <v>0</v>
      </c>
      <c r="AK44" cm="1">
        <f t="array" aca="1" ref="AK44" ca="1">GetPin_RA8D1_32SD_MIPI</f>
        <v>0</v>
      </c>
      <c r="AL44" cm="1">
        <f t="array" aca="1" ref="AL44" ca="1">GetPin_RA8D1_32SD_MIPI</f>
        <v>0</v>
      </c>
      <c r="AM44" cm="1">
        <f t="array" aca="1" ref="AM44" ca="1">GetPin_RA8D1_32SD_MIPI</f>
        <v>0</v>
      </c>
      <c r="AN44" cm="1">
        <f t="array" aca="1" ref="AN44" ca="1">GetPin_RA8D1_32SD_MIPI</f>
        <v>0</v>
      </c>
      <c r="AO44" cm="1">
        <f t="array" aca="1" ref="AO44" ca="1">GetPin_RA8D1_32SD_MIPI</f>
        <v>0</v>
      </c>
      <c r="AP44" cm="1">
        <f t="array" aca="1" ref="AP44" ca="1">GetPin_RA8D1_32SD_MIPI</f>
        <v>0</v>
      </c>
      <c r="AQ44" cm="1">
        <f t="array" aca="1" ref="AQ44" ca="1">GetPin_RA8D1_32SD_MIPI</f>
        <v>0</v>
      </c>
      <c r="AR44" cm="1">
        <f t="array" aca="1" ref="AR44" ca="1">GetPin_RA8D1_32SD_MIPI</f>
        <v>0</v>
      </c>
      <c r="AS44" cm="1">
        <f t="array" aca="1" ref="AS44" ca="1">GetPin_RA8D1_32SD_MIPI</f>
        <v>0</v>
      </c>
      <c r="AT44" cm="1">
        <f t="array" aca="1" ref="AT44" ca="1">GetPin_RA8D1_32SD_MIPI</f>
        <v>0</v>
      </c>
      <c r="AU44" cm="1">
        <f t="array" aca="1" ref="AU44" ca="1">GetPin_RA8D1_32SD_MIPI</f>
        <v>0</v>
      </c>
      <c r="AV44" cm="1">
        <f t="array" aca="1" ref="AV44" ca="1">GetPin_RA8D1_32SD_MIPI</f>
        <v>0</v>
      </c>
      <c r="AW44" cm="1">
        <f t="array" aca="1" ref="AW44" ca="1">GetPin_RA8D1_32SD_MIPI</f>
        <v>0</v>
      </c>
      <c r="AX44" cm="1">
        <f t="array" aca="1" ref="AX44" ca="1">GetPin_RA8D1_32SD_MIPI</f>
        <v>0</v>
      </c>
      <c r="AY44" cm="1">
        <f t="array" aca="1" ref="AY44" ca="1">GetPin_RA8D1_32SD_MIPI</f>
        <v>0</v>
      </c>
      <c r="AZ44" cm="1">
        <f t="array" aca="1" ref="AZ44" ca="1">GetPin_RA8D1_32SD_MIPI</f>
        <v>0</v>
      </c>
      <c r="BA44" cm="1">
        <f t="array" aca="1" ref="BA44" ca="1">GetPin_RA8D1_32SD_MIPI</f>
        <v>0</v>
      </c>
      <c r="BB44" cm="1">
        <f t="array" aca="1" ref="BB44" ca="1">GetPin_RA8D1_32SD_MIPI</f>
        <v>0</v>
      </c>
      <c r="BC44" cm="1">
        <f t="array" aca="1" ref="BC44" ca="1">GetPin_RA8D1_32SD_MIPI</f>
        <v>0</v>
      </c>
      <c r="BD44" cm="1">
        <f t="array" aca="1" ref="BD44" ca="1">GetPin_RA8D1_32SD_MIPI</f>
        <v>0</v>
      </c>
      <c r="BG44">
        <v>24</v>
      </c>
    </row>
    <row r="45" spans="17:59" x14ac:dyDescent="0.25">
      <c r="Q45">
        <f>IF(ISBLANK(BoardBTB!Q45),-1,(COUNTIF(U45:BD45,4)*4+IF(COUNTIF(U45:BD45,2),1,0)*2+IF(COUNTIF(U45:BD45,1),1,0)))</f>
        <v>-1</v>
      </c>
      <c r="R45">
        <f>IF(ISBLANK(BoardBTB!R45),-1,(COUNTIF(U45:BD45,4)*4+IF(COUNTIF(U45:BD45,2),1,0)*2+IF(COUNTIF(U45:BD45,1),1,0)))</f>
        <v>-1</v>
      </c>
      <c r="S45">
        <f>IF(ISBLANK(BoardBTB!S45),-1,(COUNTIF(U45:BD45,4)*4+IF(COUNTIF(U45:BD45,2),1,0)*2+IF(COUNTIF(U45:BD45,1),1,0)))</f>
        <v>-1</v>
      </c>
      <c r="T45">
        <f ca="1">IF(ISBLANK(BoardBTB!T45),-1,(COUNTIF(U45:BD45,4)*4+IF(COUNTIF(U45:BD45,2),1,0)*2+IF(COUNTIF(U45:BD45,1),1,0)))</f>
        <v>0</v>
      </c>
      <c r="U45" cm="1">
        <f t="array" aca="1" ref="U45" ca="1">GetPin_RA8D1_32SD_MIPI</f>
        <v>0</v>
      </c>
      <c r="V45" cm="1">
        <f t="array" aca="1" ref="V45" ca="1">GetPin_RA8D1_32SD_MIPI</f>
        <v>0</v>
      </c>
      <c r="W45" cm="1">
        <f t="array" aca="1" ref="W45" ca="1">GetPin_RA8D1_32SD_MIPI</f>
        <v>0</v>
      </c>
      <c r="X45" cm="1">
        <f t="array" aca="1" ref="X45" ca="1">GetPin_RA8D1_32SD_MIPI</f>
        <v>0</v>
      </c>
      <c r="Y45" cm="1">
        <f t="array" aca="1" ref="Y45" ca="1">GetPin_RA8D1_32SD_MIPI</f>
        <v>0</v>
      </c>
      <c r="Z45" cm="1">
        <f t="array" aca="1" ref="Z45" ca="1">GetPin_RA8D1_32SD_MIPI</f>
        <v>0</v>
      </c>
      <c r="AA45" cm="1">
        <f t="array" aca="1" ref="AA45" ca="1">GetPin_RA8D1_32SD_MIPI</f>
        <v>0</v>
      </c>
      <c r="AB45" cm="1">
        <f t="array" aca="1" ref="AB45" ca="1">GetPin_RA8D1_32SD_MIPI</f>
        <v>0</v>
      </c>
      <c r="AC45" cm="1">
        <f t="array" aca="1" ref="AC45" ca="1">GetPin_RA8D1_32SD_MIPI</f>
        <v>0</v>
      </c>
      <c r="AD45" cm="1">
        <f t="array" aca="1" ref="AD45" ca="1">GetPin_RA8D1_32SD_MIPI</f>
        <v>0</v>
      </c>
      <c r="AE45" cm="1">
        <f t="array" aca="1" ref="AE45" ca="1">GetPin_RA8D1_32SD_MIPI</f>
        <v>0</v>
      </c>
      <c r="AF45" cm="1">
        <f t="array" aca="1" ref="AF45" ca="1">GetPin_RA8D1_32SD_MIPI</f>
        <v>0</v>
      </c>
      <c r="AG45" cm="1">
        <f t="array" aca="1" ref="AG45" ca="1">GetPin_RA8D1_32SD_MIPI</f>
        <v>0</v>
      </c>
      <c r="AH45" cm="1">
        <f t="array" aca="1" ref="AH45" ca="1">GetPin_RA8D1_32SD_MIPI</f>
        <v>0</v>
      </c>
      <c r="AI45" cm="1">
        <f t="array" aca="1" ref="AI45" ca="1">GetPin_RA8D1_32SD_MIPI</f>
        <v>0</v>
      </c>
      <c r="AJ45" cm="1">
        <f t="array" aca="1" ref="AJ45" ca="1">GetPin_RA8D1_32SD_MIPI</f>
        <v>0</v>
      </c>
      <c r="AK45" cm="1">
        <f t="array" aca="1" ref="AK45" ca="1">GetPin_RA8D1_32SD_MIPI</f>
        <v>0</v>
      </c>
      <c r="AL45" cm="1">
        <f t="array" aca="1" ref="AL45" ca="1">GetPin_RA8D1_32SD_MIPI</f>
        <v>0</v>
      </c>
      <c r="AM45" cm="1">
        <f t="array" aca="1" ref="AM45" ca="1">GetPin_RA8D1_32SD_MIPI</f>
        <v>0</v>
      </c>
      <c r="AN45" cm="1">
        <f t="array" aca="1" ref="AN45" ca="1">GetPin_RA8D1_32SD_MIPI</f>
        <v>0</v>
      </c>
      <c r="AO45" cm="1">
        <f t="array" aca="1" ref="AO45" ca="1">GetPin_RA8D1_32SD_MIPI</f>
        <v>0</v>
      </c>
      <c r="AP45" cm="1">
        <f t="array" aca="1" ref="AP45" ca="1">GetPin_RA8D1_32SD_MIPI</f>
        <v>0</v>
      </c>
      <c r="AQ45" cm="1">
        <f t="array" aca="1" ref="AQ45" ca="1">GetPin_RA8D1_32SD_MIPI</f>
        <v>0</v>
      </c>
      <c r="AR45" cm="1">
        <f t="array" aca="1" ref="AR45" ca="1">GetPin_RA8D1_32SD_MIPI</f>
        <v>0</v>
      </c>
      <c r="AS45" cm="1">
        <f t="array" aca="1" ref="AS45" ca="1">GetPin_RA8D1_32SD_MIPI</f>
        <v>0</v>
      </c>
      <c r="AT45" cm="1">
        <f t="array" aca="1" ref="AT45" ca="1">GetPin_RA8D1_32SD_MIPI</f>
        <v>0</v>
      </c>
      <c r="AU45" cm="1">
        <f t="array" aca="1" ref="AU45" ca="1">GetPin_RA8D1_32SD_MIPI</f>
        <v>0</v>
      </c>
      <c r="AV45" cm="1">
        <f t="array" aca="1" ref="AV45" ca="1">GetPin_RA8D1_32SD_MIPI</f>
        <v>0</v>
      </c>
      <c r="AW45" cm="1">
        <f t="array" aca="1" ref="AW45" ca="1">GetPin_RA8D1_32SD_MIPI</f>
        <v>0</v>
      </c>
      <c r="AX45" cm="1">
        <f t="array" aca="1" ref="AX45" ca="1">GetPin_RA8D1_32SD_MIPI</f>
        <v>0</v>
      </c>
      <c r="AY45" cm="1">
        <f t="array" aca="1" ref="AY45" ca="1">GetPin_RA8D1_32SD_MIPI</f>
        <v>0</v>
      </c>
      <c r="AZ45" cm="1">
        <f t="array" aca="1" ref="AZ45" ca="1">GetPin_RA8D1_32SD_MIPI</f>
        <v>0</v>
      </c>
      <c r="BA45" cm="1">
        <f t="array" aca="1" ref="BA45" ca="1">GetPin_RA8D1_32SD_MIPI</f>
        <v>0</v>
      </c>
      <c r="BB45" cm="1">
        <f t="array" aca="1" ref="BB45" ca="1">GetPin_RA8D1_32SD_MIPI</f>
        <v>0</v>
      </c>
      <c r="BC45" cm="1">
        <f t="array" aca="1" ref="BC45" ca="1">GetPin_RA8D1_32SD_MIPI</f>
        <v>0</v>
      </c>
      <c r="BD45" cm="1">
        <f t="array" aca="1" ref="BD45" ca="1">GetPin_RA8D1_32SD_MIPI</f>
        <v>0</v>
      </c>
      <c r="BG45">
        <v>25</v>
      </c>
    </row>
    <row r="46" spans="17:59" x14ac:dyDescent="0.25">
      <c r="Q46">
        <f>IF(ISBLANK(BoardBTB!Q46),-1,(COUNTIF(U46:BD46,4)*4+IF(COUNTIF(U46:BD46,2),1,0)*2+IF(COUNTIF(U46:BD46,1),1,0)))</f>
        <v>-1</v>
      </c>
      <c r="R46">
        <f>IF(ISBLANK(BoardBTB!R46),-1,(COUNTIF(U46:BD46,4)*4+IF(COUNTIF(U46:BD46,2),1,0)*2+IF(COUNTIF(U46:BD46,1),1,0)))</f>
        <v>-1</v>
      </c>
      <c r="S46">
        <f>IF(ISBLANK(BoardBTB!S46),-1,(COUNTIF(U46:BD46,4)*4+IF(COUNTIF(U46:BD46,2),1,0)*2+IF(COUNTIF(U46:BD46,1),1,0)))</f>
        <v>-1</v>
      </c>
      <c r="T46">
        <f ca="1">IF(ISBLANK(BoardBTB!T46),-1,(COUNTIF(U46:BD46,4)*4+IF(COUNTIF(U46:BD46,2),1,0)*2+IF(COUNTIF(U46:BD46,1),1,0)))</f>
        <v>0</v>
      </c>
      <c r="U46" cm="1">
        <f t="array" aca="1" ref="U46" ca="1">GetPin_RA8D1_32SD_MIPI</f>
        <v>0</v>
      </c>
      <c r="V46" cm="1">
        <f t="array" aca="1" ref="V46" ca="1">GetPin_RA8D1_32SD_MIPI</f>
        <v>0</v>
      </c>
      <c r="W46" cm="1">
        <f t="array" aca="1" ref="W46" ca="1">GetPin_RA8D1_32SD_MIPI</f>
        <v>0</v>
      </c>
      <c r="X46" cm="1">
        <f t="array" aca="1" ref="X46" ca="1">GetPin_RA8D1_32SD_MIPI</f>
        <v>0</v>
      </c>
      <c r="Y46" cm="1">
        <f t="array" aca="1" ref="Y46" ca="1">GetPin_RA8D1_32SD_MIPI</f>
        <v>0</v>
      </c>
      <c r="Z46" cm="1">
        <f t="array" aca="1" ref="Z46" ca="1">GetPin_RA8D1_32SD_MIPI</f>
        <v>0</v>
      </c>
      <c r="AA46" cm="1">
        <f t="array" aca="1" ref="AA46" ca="1">GetPin_RA8D1_32SD_MIPI</f>
        <v>0</v>
      </c>
      <c r="AB46" cm="1">
        <f t="array" aca="1" ref="AB46" ca="1">GetPin_RA8D1_32SD_MIPI</f>
        <v>0</v>
      </c>
      <c r="AC46" cm="1">
        <f t="array" aca="1" ref="AC46" ca="1">GetPin_RA8D1_32SD_MIPI</f>
        <v>0</v>
      </c>
      <c r="AD46" cm="1">
        <f t="array" aca="1" ref="AD46" ca="1">GetPin_RA8D1_32SD_MIPI</f>
        <v>0</v>
      </c>
      <c r="AE46" cm="1">
        <f t="array" aca="1" ref="AE46" ca="1">GetPin_RA8D1_32SD_MIPI</f>
        <v>0</v>
      </c>
      <c r="AF46" cm="1">
        <f t="array" aca="1" ref="AF46" ca="1">GetPin_RA8D1_32SD_MIPI</f>
        <v>0</v>
      </c>
      <c r="AG46" cm="1">
        <f t="array" aca="1" ref="AG46" ca="1">GetPin_RA8D1_32SD_MIPI</f>
        <v>0</v>
      </c>
      <c r="AH46" cm="1">
        <f t="array" aca="1" ref="AH46" ca="1">GetPin_RA8D1_32SD_MIPI</f>
        <v>0</v>
      </c>
      <c r="AI46" cm="1">
        <f t="array" aca="1" ref="AI46" ca="1">GetPin_RA8D1_32SD_MIPI</f>
        <v>0</v>
      </c>
      <c r="AJ46" cm="1">
        <f t="array" aca="1" ref="AJ46" ca="1">GetPin_RA8D1_32SD_MIPI</f>
        <v>0</v>
      </c>
      <c r="AK46" cm="1">
        <f t="array" aca="1" ref="AK46" ca="1">GetPin_RA8D1_32SD_MIPI</f>
        <v>0</v>
      </c>
      <c r="AL46" cm="1">
        <f t="array" aca="1" ref="AL46" ca="1">GetPin_RA8D1_32SD_MIPI</f>
        <v>0</v>
      </c>
      <c r="AM46" cm="1">
        <f t="array" aca="1" ref="AM46" ca="1">GetPin_RA8D1_32SD_MIPI</f>
        <v>0</v>
      </c>
      <c r="AN46" cm="1">
        <f t="array" aca="1" ref="AN46" ca="1">GetPin_RA8D1_32SD_MIPI</f>
        <v>0</v>
      </c>
      <c r="AO46" cm="1">
        <f t="array" aca="1" ref="AO46" ca="1">GetPin_RA8D1_32SD_MIPI</f>
        <v>0</v>
      </c>
      <c r="AP46" cm="1">
        <f t="array" aca="1" ref="AP46" ca="1">GetPin_RA8D1_32SD_MIPI</f>
        <v>0</v>
      </c>
      <c r="AQ46" cm="1">
        <f t="array" aca="1" ref="AQ46" ca="1">GetPin_RA8D1_32SD_MIPI</f>
        <v>0</v>
      </c>
      <c r="AR46" cm="1">
        <f t="array" aca="1" ref="AR46" ca="1">GetPin_RA8D1_32SD_MIPI</f>
        <v>0</v>
      </c>
      <c r="AS46" cm="1">
        <f t="array" aca="1" ref="AS46" ca="1">GetPin_RA8D1_32SD_MIPI</f>
        <v>0</v>
      </c>
      <c r="AT46" cm="1">
        <f t="array" aca="1" ref="AT46" ca="1">GetPin_RA8D1_32SD_MIPI</f>
        <v>0</v>
      </c>
      <c r="AU46" cm="1">
        <f t="array" aca="1" ref="AU46" ca="1">GetPin_RA8D1_32SD_MIPI</f>
        <v>0</v>
      </c>
      <c r="AV46" cm="1">
        <f t="array" aca="1" ref="AV46" ca="1">GetPin_RA8D1_32SD_MIPI</f>
        <v>0</v>
      </c>
      <c r="AW46" cm="1">
        <f t="array" aca="1" ref="AW46" ca="1">GetPin_RA8D1_32SD_MIPI</f>
        <v>0</v>
      </c>
      <c r="AX46" cm="1">
        <f t="array" aca="1" ref="AX46" ca="1">GetPin_RA8D1_32SD_MIPI</f>
        <v>0</v>
      </c>
      <c r="AY46" cm="1">
        <f t="array" aca="1" ref="AY46" ca="1">GetPin_RA8D1_32SD_MIPI</f>
        <v>0</v>
      </c>
      <c r="AZ46" cm="1">
        <f t="array" aca="1" ref="AZ46" ca="1">GetPin_RA8D1_32SD_MIPI</f>
        <v>0</v>
      </c>
      <c r="BA46" cm="1">
        <f t="array" aca="1" ref="BA46" ca="1">GetPin_RA8D1_32SD_MIPI</f>
        <v>0</v>
      </c>
      <c r="BB46" cm="1">
        <f t="array" aca="1" ref="BB46" ca="1">GetPin_RA8D1_32SD_MIPI</f>
        <v>0</v>
      </c>
      <c r="BC46" cm="1">
        <f t="array" aca="1" ref="BC46" ca="1">GetPin_RA8D1_32SD_MIPI</f>
        <v>0</v>
      </c>
      <c r="BD46" cm="1">
        <f t="array" aca="1" ref="BD46" ca="1">GetPin_RA8D1_32SD_MIPI</f>
        <v>0</v>
      </c>
      <c r="BG46">
        <v>26</v>
      </c>
    </row>
    <row r="47" spans="17:59" x14ac:dyDescent="0.25">
      <c r="Q47">
        <f>IF(ISBLANK(BoardBTB!Q47),-1,(COUNTIF(U47:BD47,4)*4+IF(COUNTIF(U47:BD47,2),1,0)*2+IF(COUNTIF(U47:BD47,1),1,0)))</f>
        <v>-1</v>
      </c>
      <c r="R47">
        <f>IF(ISBLANK(BoardBTB!R47),-1,(COUNTIF(U47:BD47,4)*4+IF(COUNTIF(U47:BD47,2),1,0)*2+IF(COUNTIF(U47:BD47,1),1,0)))</f>
        <v>-1</v>
      </c>
      <c r="S47">
        <f>IF(ISBLANK(BoardBTB!S47),-1,(COUNTIF(U47:BD47,4)*4+IF(COUNTIF(U47:BD47,2),1,0)*2+IF(COUNTIF(U47:BD47,1),1,0)))</f>
        <v>-1</v>
      </c>
      <c r="T47">
        <f ca="1">IF(ISBLANK(BoardBTB!T47),-1,(COUNTIF(U47:BD47,4)*4+IF(COUNTIF(U47:BD47,2),1,0)*2+IF(COUNTIF(U47:BD47,1),1,0)))</f>
        <v>0</v>
      </c>
      <c r="U47" cm="1">
        <f t="array" aca="1" ref="U47" ca="1">GetPin_RA8D1_32SD_MIPI</f>
        <v>0</v>
      </c>
      <c r="V47" cm="1">
        <f t="array" aca="1" ref="V47" ca="1">GetPin_RA8D1_32SD_MIPI</f>
        <v>0</v>
      </c>
      <c r="W47" cm="1">
        <f t="array" aca="1" ref="W47" ca="1">GetPin_RA8D1_32SD_MIPI</f>
        <v>0</v>
      </c>
      <c r="X47" cm="1">
        <f t="array" aca="1" ref="X47" ca="1">GetPin_RA8D1_32SD_MIPI</f>
        <v>0</v>
      </c>
      <c r="Y47" cm="1">
        <f t="array" aca="1" ref="Y47" ca="1">GetPin_RA8D1_32SD_MIPI</f>
        <v>0</v>
      </c>
      <c r="Z47" cm="1">
        <f t="array" aca="1" ref="Z47" ca="1">GetPin_RA8D1_32SD_MIPI</f>
        <v>0</v>
      </c>
      <c r="AA47" cm="1">
        <f t="array" aca="1" ref="AA47" ca="1">GetPin_RA8D1_32SD_MIPI</f>
        <v>0</v>
      </c>
      <c r="AB47" cm="1">
        <f t="array" aca="1" ref="AB47" ca="1">GetPin_RA8D1_32SD_MIPI</f>
        <v>0</v>
      </c>
      <c r="AC47" cm="1">
        <f t="array" aca="1" ref="AC47" ca="1">GetPin_RA8D1_32SD_MIPI</f>
        <v>0</v>
      </c>
      <c r="AD47" cm="1">
        <f t="array" aca="1" ref="AD47" ca="1">GetPin_RA8D1_32SD_MIPI</f>
        <v>0</v>
      </c>
      <c r="AE47" cm="1">
        <f t="array" aca="1" ref="AE47" ca="1">GetPin_RA8D1_32SD_MIPI</f>
        <v>0</v>
      </c>
      <c r="AF47" cm="1">
        <f t="array" aca="1" ref="AF47" ca="1">GetPin_RA8D1_32SD_MIPI</f>
        <v>0</v>
      </c>
      <c r="AG47" cm="1">
        <f t="array" aca="1" ref="AG47" ca="1">GetPin_RA8D1_32SD_MIPI</f>
        <v>0</v>
      </c>
      <c r="AH47" cm="1">
        <f t="array" aca="1" ref="AH47" ca="1">GetPin_RA8D1_32SD_MIPI</f>
        <v>0</v>
      </c>
      <c r="AI47" cm="1">
        <f t="array" aca="1" ref="AI47" ca="1">GetPin_RA8D1_32SD_MIPI</f>
        <v>0</v>
      </c>
      <c r="AJ47" cm="1">
        <f t="array" aca="1" ref="AJ47" ca="1">GetPin_RA8D1_32SD_MIPI</f>
        <v>0</v>
      </c>
      <c r="AK47" cm="1">
        <f t="array" aca="1" ref="AK47" ca="1">GetPin_RA8D1_32SD_MIPI</f>
        <v>0</v>
      </c>
      <c r="AL47" cm="1">
        <f t="array" aca="1" ref="AL47" ca="1">GetPin_RA8D1_32SD_MIPI</f>
        <v>0</v>
      </c>
      <c r="AM47" cm="1">
        <f t="array" aca="1" ref="AM47" ca="1">GetPin_RA8D1_32SD_MIPI</f>
        <v>0</v>
      </c>
      <c r="AN47" cm="1">
        <f t="array" aca="1" ref="AN47" ca="1">GetPin_RA8D1_32SD_MIPI</f>
        <v>0</v>
      </c>
      <c r="AO47" cm="1">
        <f t="array" aca="1" ref="AO47" ca="1">GetPin_RA8D1_32SD_MIPI</f>
        <v>0</v>
      </c>
      <c r="AP47" cm="1">
        <f t="array" aca="1" ref="AP47" ca="1">GetPin_RA8D1_32SD_MIPI</f>
        <v>0</v>
      </c>
      <c r="AQ47" cm="1">
        <f t="array" aca="1" ref="AQ47" ca="1">GetPin_RA8D1_32SD_MIPI</f>
        <v>0</v>
      </c>
      <c r="AR47" cm="1">
        <f t="array" aca="1" ref="AR47" ca="1">GetPin_RA8D1_32SD_MIPI</f>
        <v>0</v>
      </c>
      <c r="AS47" cm="1">
        <f t="array" aca="1" ref="AS47" ca="1">GetPin_RA8D1_32SD_MIPI</f>
        <v>0</v>
      </c>
      <c r="AT47" cm="1">
        <f t="array" aca="1" ref="AT47" ca="1">GetPin_RA8D1_32SD_MIPI</f>
        <v>0</v>
      </c>
      <c r="AU47" cm="1">
        <f t="array" aca="1" ref="AU47" ca="1">GetPin_RA8D1_32SD_MIPI</f>
        <v>0</v>
      </c>
      <c r="AV47" cm="1">
        <f t="array" aca="1" ref="AV47" ca="1">GetPin_RA8D1_32SD_MIPI</f>
        <v>0</v>
      </c>
      <c r="AW47" cm="1">
        <f t="array" aca="1" ref="AW47" ca="1">GetPin_RA8D1_32SD_MIPI</f>
        <v>0</v>
      </c>
      <c r="AX47" cm="1">
        <f t="array" aca="1" ref="AX47" ca="1">GetPin_RA8D1_32SD_MIPI</f>
        <v>0</v>
      </c>
      <c r="AY47" cm="1">
        <f t="array" aca="1" ref="AY47" ca="1">GetPin_RA8D1_32SD_MIPI</f>
        <v>0</v>
      </c>
      <c r="AZ47" cm="1">
        <f t="array" aca="1" ref="AZ47" ca="1">GetPin_RA8D1_32SD_MIPI</f>
        <v>0</v>
      </c>
      <c r="BA47" cm="1">
        <f t="array" aca="1" ref="BA47" ca="1">GetPin_RA8D1_32SD_MIPI</f>
        <v>0</v>
      </c>
      <c r="BB47" cm="1">
        <f t="array" aca="1" ref="BB47" ca="1">GetPin_RA8D1_32SD_MIPI</f>
        <v>0</v>
      </c>
      <c r="BC47" cm="1">
        <f t="array" aca="1" ref="BC47" ca="1">GetPin_RA8D1_32SD_MIPI</f>
        <v>0</v>
      </c>
      <c r="BD47" cm="1">
        <f t="array" aca="1" ref="BD47" ca="1">GetPin_RA8D1_32SD_MIPI</f>
        <v>0</v>
      </c>
      <c r="BG47">
        <v>27</v>
      </c>
    </row>
    <row r="48" spans="17:59" x14ac:dyDescent="0.25">
      <c r="Q48">
        <f>IF(ISBLANK(BoardBTB!Q48),-1,(COUNTIF(U48:BD48,4)*4+IF(COUNTIF(U48:BD48,2),1,0)*2+IF(COUNTIF(U48:BD48,1),1,0)))</f>
        <v>-1</v>
      </c>
      <c r="R48">
        <f>IF(ISBLANK(BoardBTB!R48),-1,(COUNTIF(U48:BD48,4)*4+IF(COUNTIF(U48:BD48,2),1,0)*2+IF(COUNTIF(U48:BD48,1),1,0)))</f>
        <v>-1</v>
      </c>
      <c r="S48">
        <f>IF(ISBLANK(BoardBTB!S48),-1,(COUNTIF(U48:BD48,4)*4+IF(COUNTIF(U48:BD48,2),1,0)*2+IF(COUNTIF(U48:BD48,1),1,0)))</f>
        <v>-1</v>
      </c>
      <c r="T48">
        <f ca="1">IF(ISBLANK(BoardBTB!T48),-1,(COUNTIF(U48:BD48,4)*4+IF(COUNTIF(U48:BD48,2),1,0)*2+IF(COUNTIF(U48:BD48,1),1,0)))</f>
        <v>0</v>
      </c>
      <c r="U48" cm="1">
        <f t="array" aca="1" ref="U48" ca="1">GetPin_RA8D1_32SD_MIPI</f>
        <v>0</v>
      </c>
      <c r="V48" cm="1">
        <f t="array" aca="1" ref="V48" ca="1">GetPin_RA8D1_32SD_MIPI</f>
        <v>0</v>
      </c>
      <c r="W48" cm="1">
        <f t="array" aca="1" ref="W48" ca="1">GetPin_RA8D1_32SD_MIPI</f>
        <v>0</v>
      </c>
      <c r="X48" cm="1">
        <f t="array" aca="1" ref="X48" ca="1">GetPin_RA8D1_32SD_MIPI</f>
        <v>0</v>
      </c>
      <c r="Y48" cm="1">
        <f t="array" aca="1" ref="Y48" ca="1">GetPin_RA8D1_32SD_MIPI</f>
        <v>0</v>
      </c>
      <c r="Z48" cm="1">
        <f t="array" aca="1" ref="Z48" ca="1">GetPin_RA8D1_32SD_MIPI</f>
        <v>0</v>
      </c>
      <c r="AA48" cm="1">
        <f t="array" aca="1" ref="AA48" ca="1">GetPin_RA8D1_32SD_MIPI</f>
        <v>0</v>
      </c>
      <c r="AB48" cm="1">
        <f t="array" aca="1" ref="AB48" ca="1">GetPin_RA8D1_32SD_MIPI</f>
        <v>0</v>
      </c>
      <c r="AC48" cm="1">
        <f t="array" aca="1" ref="AC48" ca="1">GetPin_RA8D1_32SD_MIPI</f>
        <v>0</v>
      </c>
      <c r="AD48" cm="1">
        <f t="array" aca="1" ref="AD48" ca="1">GetPin_RA8D1_32SD_MIPI</f>
        <v>0</v>
      </c>
      <c r="AE48" cm="1">
        <f t="array" aca="1" ref="AE48" ca="1">GetPin_RA8D1_32SD_MIPI</f>
        <v>0</v>
      </c>
      <c r="AF48" cm="1">
        <f t="array" aca="1" ref="AF48" ca="1">GetPin_RA8D1_32SD_MIPI</f>
        <v>0</v>
      </c>
      <c r="AG48" cm="1">
        <f t="array" aca="1" ref="AG48" ca="1">GetPin_RA8D1_32SD_MIPI</f>
        <v>0</v>
      </c>
      <c r="AH48" cm="1">
        <f t="array" aca="1" ref="AH48" ca="1">GetPin_RA8D1_32SD_MIPI</f>
        <v>0</v>
      </c>
      <c r="AI48" cm="1">
        <f t="array" aca="1" ref="AI48" ca="1">GetPin_RA8D1_32SD_MIPI</f>
        <v>0</v>
      </c>
      <c r="AJ48" cm="1">
        <f t="array" aca="1" ref="AJ48" ca="1">GetPin_RA8D1_32SD_MIPI</f>
        <v>0</v>
      </c>
      <c r="AK48" cm="1">
        <f t="array" aca="1" ref="AK48" ca="1">GetPin_RA8D1_32SD_MIPI</f>
        <v>0</v>
      </c>
      <c r="AL48" cm="1">
        <f t="array" aca="1" ref="AL48" ca="1">GetPin_RA8D1_32SD_MIPI</f>
        <v>0</v>
      </c>
      <c r="AM48" cm="1">
        <f t="array" aca="1" ref="AM48" ca="1">GetPin_RA8D1_32SD_MIPI</f>
        <v>0</v>
      </c>
      <c r="AN48" cm="1">
        <f t="array" aca="1" ref="AN48" ca="1">GetPin_RA8D1_32SD_MIPI</f>
        <v>0</v>
      </c>
      <c r="AO48" cm="1">
        <f t="array" aca="1" ref="AO48" ca="1">GetPin_RA8D1_32SD_MIPI</f>
        <v>0</v>
      </c>
      <c r="AP48" cm="1">
        <f t="array" aca="1" ref="AP48" ca="1">GetPin_RA8D1_32SD_MIPI</f>
        <v>0</v>
      </c>
      <c r="AQ48" cm="1">
        <f t="array" aca="1" ref="AQ48" ca="1">GetPin_RA8D1_32SD_MIPI</f>
        <v>0</v>
      </c>
      <c r="AR48" cm="1">
        <f t="array" aca="1" ref="AR48" ca="1">GetPin_RA8D1_32SD_MIPI</f>
        <v>0</v>
      </c>
      <c r="AS48" cm="1">
        <f t="array" aca="1" ref="AS48" ca="1">GetPin_RA8D1_32SD_MIPI</f>
        <v>0</v>
      </c>
      <c r="AT48" cm="1">
        <f t="array" aca="1" ref="AT48" ca="1">GetPin_RA8D1_32SD_MIPI</f>
        <v>0</v>
      </c>
      <c r="AU48" cm="1">
        <f t="array" aca="1" ref="AU48" ca="1">GetPin_RA8D1_32SD_MIPI</f>
        <v>0</v>
      </c>
      <c r="AV48" cm="1">
        <f t="array" aca="1" ref="AV48" ca="1">GetPin_RA8D1_32SD_MIPI</f>
        <v>0</v>
      </c>
      <c r="AW48" cm="1">
        <f t="array" aca="1" ref="AW48" ca="1">GetPin_RA8D1_32SD_MIPI</f>
        <v>0</v>
      </c>
      <c r="AX48" cm="1">
        <f t="array" aca="1" ref="AX48" ca="1">GetPin_RA8D1_32SD_MIPI</f>
        <v>0</v>
      </c>
      <c r="AY48" cm="1">
        <f t="array" aca="1" ref="AY48" ca="1">GetPin_RA8D1_32SD_MIPI</f>
        <v>0</v>
      </c>
      <c r="AZ48" cm="1">
        <f t="array" aca="1" ref="AZ48" ca="1">GetPin_RA8D1_32SD_MIPI</f>
        <v>0</v>
      </c>
      <c r="BA48" cm="1">
        <f t="array" aca="1" ref="BA48" ca="1">GetPin_RA8D1_32SD_MIPI</f>
        <v>0</v>
      </c>
      <c r="BB48" cm="1">
        <f t="array" aca="1" ref="BB48" ca="1">GetPin_RA8D1_32SD_MIPI</f>
        <v>0</v>
      </c>
      <c r="BC48" cm="1">
        <f t="array" aca="1" ref="BC48" ca="1">GetPin_RA8D1_32SD_MIPI</f>
        <v>0</v>
      </c>
      <c r="BD48" cm="1">
        <f t="array" aca="1" ref="BD48" ca="1">GetPin_RA8D1_32SD_MIPI</f>
        <v>0</v>
      </c>
      <c r="BG48">
        <v>28</v>
      </c>
    </row>
    <row r="49" spans="17:59" x14ac:dyDescent="0.25">
      <c r="Q49">
        <f>IF(ISBLANK(BoardBTB!Q49),-1,(COUNTIF(U49:BD49,4)*4+IF(COUNTIF(U49:BD49,2),1,0)*2+IF(COUNTIF(U49:BD49,1),1,0)))</f>
        <v>-1</v>
      </c>
      <c r="R49">
        <f>IF(ISBLANK(BoardBTB!R49),-1,(COUNTIF(U49:BD49,4)*4+IF(COUNTIF(U49:BD49,2),1,0)*2+IF(COUNTIF(U49:BD49,1),1,0)))</f>
        <v>-1</v>
      </c>
      <c r="S49">
        <f>IF(ISBLANK(BoardBTB!S49),-1,(COUNTIF(U49:BD49,4)*4+IF(COUNTIF(U49:BD49,2),1,0)*2+IF(COUNTIF(U49:BD49,1),1,0)))</f>
        <v>-1</v>
      </c>
      <c r="T49">
        <f ca="1">IF(ISBLANK(BoardBTB!T49),-1,(COUNTIF(U49:BD49,4)*4+IF(COUNTIF(U49:BD49,2),1,0)*2+IF(COUNTIF(U49:BD49,1),1,0)))</f>
        <v>0</v>
      </c>
      <c r="U49" cm="1">
        <f t="array" aca="1" ref="U49" ca="1">GetPin_RA8D1_32SD_MIPI</f>
        <v>0</v>
      </c>
      <c r="V49" cm="1">
        <f t="array" aca="1" ref="V49" ca="1">GetPin_RA8D1_32SD_MIPI</f>
        <v>0</v>
      </c>
      <c r="W49" cm="1">
        <f t="array" aca="1" ref="W49" ca="1">GetPin_RA8D1_32SD_MIPI</f>
        <v>0</v>
      </c>
      <c r="X49" cm="1">
        <f t="array" aca="1" ref="X49" ca="1">GetPin_RA8D1_32SD_MIPI</f>
        <v>0</v>
      </c>
      <c r="Y49" cm="1">
        <f t="array" aca="1" ref="Y49" ca="1">GetPin_RA8D1_32SD_MIPI</f>
        <v>0</v>
      </c>
      <c r="Z49" cm="1">
        <f t="array" aca="1" ref="Z49" ca="1">GetPin_RA8D1_32SD_MIPI</f>
        <v>0</v>
      </c>
      <c r="AA49" cm="1">
        <f t="array" aca="1" ref="AA49" ca="1">GetPin_RA8D1_32SD_MIPI</f>
        <v>0</v>
      </c>
      <c r="AB49" cm="1">
        <f t="array" aca="1" ref="AB49" ca="1">GetPin_RA8D1_32SD_MIPI</f>
        <v>0</v>
      </c>
      <c r="AC49" cm="1">
        <f t="array" aca="1" ref="AC49" ca="1">GetPin_RA8D1_32SD_MIPI</f>
        <v>0</v>
      </c>
      <c r="AD49" cm="1">
        <f t="array" aca="1" ref="AD49" ca="1">GetPin_RA8D1_32SD_MIPI</f>
        <v>0</v>
      </c>
      <c r="AE49" cm="1">
        <f t="array" aca="1" ref="AE49" ca="1">GetPin_RA8D1_32SD_MIPI</f>
        <v>0</v>
      </c>
      <c r="AF49" cm="1">
        <f t="array" aca="1" ref="AF49" ca="1">GetPin_RA8D1_32SD_MIPI</f>
        <v>0</v>
      </c>
      <c r="AG49" cm="1">
        <f t="array" aca="1" ref="AG49" ca="1">GetPin_RA8D1_32SD_MIPI</f>
        <v>0</v>
      </c>
      <c r="AH49" cm="1">
        <f t="array" aca="1" ref="AH49" ca="1">GetPin_RA8D1_32SD_MIPI</f>
        <v>0</v>
      </c>
      <c r="AI49" cm="1">
        <f t="array" aca="1" ref="AI49" ca="1">GetPin_RA8D1_32SD_MIPI</f>
        <v>0</v>
      </c>
      <c r="AJ49" cm="1">
        <f t="array" aca="1" ref="AJ49" ca="1">GetPin_RA8D1_32SD_MIPI</f>
        <v>0</v>
      </c>
      <c r="AK49" cm="1">
        <f t="array" aca="1" ref="AK49" ca="1">GetPin_RA8D1_32SD_MIPI</f>
        <v>0</v>
      </c>
      <c r="AL49" cm="1">
        <f t="array" aca="1" ref="AL49" ca="1">GetPin_RA8D1_32SD_MIPI</f>
        <v>0</v>
      </c>
      <c r="AM49" cm="1">
        <f t="array" aca="1" ref="AM49" ca="1">GetPin_RA8D1_32SD_MIPI</f>
        <v>0</v>
      </c>
      <c r="AN49" cm="1">
        <f t="array" aca="1" ref="AN49" ca="1">GetPin_RA8D1_32SD_MIPI</f>
        <v>0</v>
      </c>
      <c r="AO49" cm="1">
        <f t="array" aca="1" ref="AO49" ca="1">GetPin_RA8D1_32SD_MIPI</f>
        <v>0</v>
      </c>
      <c r="AP49" cm="1">
        <f t="array" aca="1" ref="AP49" ca="1">GetPin_RA8D1_32SD_MIPI</f>
        <v>0</v>
      </c>
      <c r="AQ49" cm="1">
        <f t="array" aca="1" ref="AQ49" ca="1">GetPin_RA8D1_32SD_MIPI</f>
        <v>0</v>
      </c>
      <c r="AR49" cm="1">
        <f t="array" aca="1" ref="AR49" ca="1">GetPin_RA8D1_32SD_MIPI</f>
        <v>0</v>
      </c>
      <c r="AS49" cm="1">
        <f t="array" aca="1" ref="AS49" ca="1">GetPin_RA8D1_32SD_MIPI</f>
        <v>0</v>
      </c>
      <c r="AT49" cm="1">
        <f t="array" aca="1" ref="AT49" ca="1">GetPin_RA8D1_32SD_MIPI</f>
        <v>0</v>
      </c>
      <c r="AU49" cm="1">
        <f t="array" aca="1" ref="AU49" ca="1">GetPin_RA8D1_32SD_MIPI</f>
        <v>0</v>
      </c>
      <c r="AV49" cm="1">
        <f t="array" aca="1" ref="AV49" ca="1">GetPin_RA8D1_32SD_MIPI</f>
        <v>0</v>
      </c>
      <c r="AW49" cm="1">
        <f t="array" aca="1" ref="AW49" ca="1">GetPin_RA8D1_32SD_MIPI</f>
        <v>0</v>
      </c>
      <c r="AX49" cm="1">
        <f t="array" aca="1" ref="AX49" ca="1">GetPin_RA8D1_32SD_MIPI</f>
        <v>0</v>
      </c>
      <c r="AY49" cm="1">
        <f t="array" aca="1" ref="AY49" ca="1">GetPin_RA8D1_32SD_MIPI</f>
        <v>0</v>
      </c>
      <c r="AZ49" cm="1">
        <f t="array" aca="1" ref="AZ49" ca="1">GetPin_RA8D1_32SD_MIPI</f>
        <v>0</v>
      </c>
      <c r="BA49" cm="1">
        <f t="array" aca="1" ref="BA49" ca="1">GetPin_RA8D1_32SD_MIPI</f>
        <v>0</v>
      </c>
      <c r="BB49" cm="1">
        <f t="array" aca="1" ref="BB49" ca="1">GetPin_RA8D1_32SD_MIPI</f>
        <v>0</v>
      </c>
      <c r="BC49" cm="1">
        <f t="array" aca="1" ref="BC49" ca="1">GetPin_RA8D1_32SD_MIPI</f>
        <v>0</v>
      </c>
      <c r="BD49" cm="1">
        <f t="array" aca="1" ref="BD49" ca="1">GetPin_RA8D1_32SD_MIPI</f>
        <v>0</v>
      </c>
      <c r="BG49">
        <v>29</v>
      </c>
    </row>
    <row r="50" spans="17:59" x14ac:dyDescent="0.25">
      <c r="Q50">
        <f>IF(ISBLANK(BoardBTB!Q50),-1,(COUNTIF(U50:BD50,4)*4+IF(COUNTIF(U50:BD50,2),1,0)*2+IF(COUNTIF(U50:BD50,1),1,0)))</f>
        <v>-1</v>
      </c>
      <c r="R50">
        <f>IF(ISBLANK(BoardBTB!R50),-1,(COUNTIF(U50:BD50,4)*4+IF(COUNTIF(U50:BD50,2),1,0)*2+IF(COUNTIF(U50:BD50,1),1,0)))</f>
        <v>-1</v>
      </c>
      <c r="S50">
        <f>IF(ISBLANK(BoardBTB!S50),-1,(COUNTIF(U50:BD50,4)*4+IF(COUNTIF(U50:BD50,2),1,0)*2+IF(COUNTIF(U50:BD50,1),1,0)))</f>
        <v>-1</v>
      </c>
      <c r="T50">
        <f ca="1">IF(ISBLANK(BoardBTB!T50),-1,(COUNTIF(U50:BD50,4)*4+IF(COUNTIF(U50:BD50,2),1,0)*2+IF(COUNTIF(U50:BD50,1),1,0)))</f>
        <v>0</v>
      </c>
      <c r="U50" cm="1">
        <f t="array" aca="1" ref="U50" ca="1">GetPin_RA8D1_32SD_MIPI</f>
        <v>0</v>
      </c>
      <c r="V50" cm="1">
        <f t="array" aca="1" ref="V50" ca="1">GetPin_RA8D1_32SD_MIPI</f>
        <v>0</v>
      </c>
      <c r="W50" cm="1">
        <f t="array" aca="1" ref="W50" ca="1">GetPin_RA8D1_32SD_MIPI</f>
        <v>0</v>
      </c>
      <c r="X50" cm="1">
        <f t="array" aca="1" ref="X50" ca="1">GetPin_RA8D1_32SD_MIPI</f>
        <v>0</v>
      </c>
      <c r="Y50" cm="1">
        <f t="array" aca="1" ref="Y50" ca="1">GetPin_RA8D1_32SD_MIPI</f>
        <v>0</v>
      </c>
      <c r="Z50" cm="1">
        <f t="array" aca="1" ref="Z50" ca="1">GetPin_RA8D1_32SD_MIPI</f>
        <v>0</v>
      </c>
      <c r="AA50" cm="1">
        <f t="array" aca="1" ref="AA50" ca="1">GetPin_RA8D1_32SD_MIPI</f>
        <v>0</v>
      </c>
      <c r="AB50" cm="1">
        <f t="array" aca="1" ref="AB50" ca="1">GetPin_RA8D1_32SD_MIPI</f>
        <v>0</v>
      </c>
      <c r="AC50" cm="1">
        <f t="array" aca="1" ref="AC50" ca="1">GetPin_RA8D1_32SD_MIPI</f>
        <v>0</v>
      </c>
      <c r="AD50" cm="1">
        <f t="array" aca="1" ref="AD50" ca="1">GetPin_RA8D1_32SD_MIPI</f>
        <v>0</v>
      </c>
      <c r="AE50" cm="1">
        <f t="array" aca="1" ref="AE50" ca="1">GetPin_RA8D1_32SD_MIPI</f>
        <v>0</v>
      </c>
      <c r="AF50" cm="1">
        <f t="array" aca="1" ref="AF50" ca="1">GetPin_RA8D1_32SD_MIPI</f>
        <v>0</v>
      </c>
      <c r="AG50" cm="1">
        <f t="array" aca="1" ref="AG50" ca="1">GetPin_RA8D1_32SD_MIPI</f>
        <v>0</v>
      </c>
      <c r="AH50" cm="1">
        <f t="array" aca="1" ref="AH50" ca="1">GetPin_RA8D1_32SD_MIPI</f>
        <v>0</v>
      </c>
      <c r="AI50" cm="1">
        <f t="array" aca="1" ref="AI50" ca="1">GetPin_RA8D1_32SD_MIPI</f>
        <v>0</v>
      </c>
      <c r="AJ50" cm="1">
        <f t="array" aca="1" ref="AJ50" ca="1">GetPin_RA8D1_32SD_MIPI</f>
        <v>0</v>
      </c>
      <c r="AK50" cm="1">
        <f t="array" aca="1" ref="AK50" ca="1">GetPin_RA8D1_32SD_MIPI</f>
        <v>0</v>
      </c>
      <c r="AL50" cm="1">
        <f t="array" aca="1" ref="AL50" ca="1">GetPin_RA8D1_32SD_MIPI</f>
        <v>0</v>
      </c>
      <c r="AM50" cm="1">
        <f t="array" aca="1" ref="AM50" ca="1">GetPin_RA8D1_32SD_MIPI</f>
        <v>0</v>
      </c>
      <c r="AN50" cm="1">
        <f t="array" aca="1" ref="AN50" ca="1">GetPin_RA8D1_32SD_MIPI</f>
        <v>0</v>
      </c>
      <c r="AO50" cm="1">
        <f t="array" aca="1" ref="AO50" ca="1">GetPin_RA8D1_32SD_MIPI</f>
        <v>0</v>
      </c>
      <c r="AP50" cm="1">
        <f t="array" aca="1" ref="AP50" ca="1">GetPin_RA8D1_32SD_MIPI</f>
        <v>0</v>
      </c>
      <c r="AQ50" cm="1">
        <f t="array" aca="1" ref="AQ50" ca="1">GetPin_RA8D1_32SD_MIPI</f>
        <v>0</v>
      </c>
      <c r="AR50" cm="1">
        <f t="array" aca="1" ref="AR50" ca="1">GetPin_RA8D1_32SD_MIPI</f>
        <v>0</v>
      </c>
      <c r="AS50" cm="1">
        <f t="array" aca="1" ref="AS50" ca="1">GetPin_RA8D1_32SD_MIPI</f>
        <v>0</v>
      </c>
      <c r="AT50" cm="1">
        <f t="array" aca="1" ref="AT50" ca="1">GetPin_RA8D1_32SD_MIPI</f>
        <v>0</v>
      </c>
      <c r="AU50" cm="1">
        <f t="array" aca="1" ref="AU50" ca="1">GetPin_RA8D1_32SD_MIPI</f>
        <v>0</v>
      </c>
      <c r="AV50" cm="1">
        <f t="array" aca="1" ref="AV50" ca="1">GetPin_RA8D1_32SD_MIPI</f>
        <v>0</v>
      </c>
      <c r="AW50" cm="1">
        <f t="array" aca="1" ref="AW50" ca="1">GetPin_RA8D1_32SD_MIPI</f>
        <v>0</v>
      </c>
      <c r="AX50" cm="1">
        <f t="array" aca="1" ref="AX50" ca="1">GetPin_RA8D1_32SD_MIPI</f>
        <v>0</v>
      </c>
      <c r="AY50" cm="1">
        <f t="array" aca="1" ref="AY50" ca="1">GetPin_RA8D1_32SD_MIPI</f>
        <v>0</v>
      </c>
      <c r="AZ50" cm="1">
        <f t="array" aca="1" ref="AZ50" ca="1">GetPin_RA8D1_32SD_MIPI</f>
        <v>0</v>
      </c>
      <c r="BA50" cm="1">
        <f t="array" aca="1" ref="BA50" ca="1">GetPin_RA8D1_32SD_MIPI</f>
        <v>0</v>
      </c>
      <c r="BB50" cm="1">
        <f t="array" aca="1" ref="BB50" ca="1">GetPin_RA8D1_32SD_MIPI</f>
        <v>0</v>
      </c>
      <c r="BC50" cm="1">
        <f t="array" aca="1" ref="BC50" ca="1">GetPin_RA8D1_32SD_MIPI</f>
        <v>0</v>
      </c>
      <c r="BD50" cm="1">
        <f t="array" aca="1" ref="BD50" ca="1">GetPin_RA8D1_32SD_MIPI</f>
        <v>0</v>
      </c>
      <c r="BG50">
        <v>30</v>
      </c>
    </row>
    <row r="51" spans="17:59" x14ac:dyDescent="0.25">
      <c r="Q51">
        <f>IF(ISBLANK(BoardBTB!Q51),-1,(COUNTIF(U51:BD51,4)*4+IF(COUNTIF(U51:BD51,2),1,0)*2+IF(COUNTIF(U51:BD51,1),1,0)))</f>
        <v>-1</v>
      </c>
      <c r="R51">
        <f>IF(ISBLANK(BoardBTB!R51),-1,(COUNTIF(U51:BD51,4)*4+IF(COUNTIF(U51:BD51,2),1,0)*2+IF(COUNTIF(U51:BD51,1),1,0)))</f>
        <v>-1</v>
      </c>
      <c r="S51">
        <f>IF(ISBLANK(BoardBTB!S51),-1,(COUNTIF(U51:BD51,4)*4+IF(COUNTIF(U51:BD51,2),1,0)*2+IF(COUNTIF(U51:BD51,1),1,0)))</f>
        <v>-1</v>
      </c>
      <c r="T51">
        <f ca="1">IF(ISBLANK(BoardBTB!T51),-1,(COUNTIF(U51:BD51,4)*4+IF(COUNTIF(U51:BD51,2),1,0)*2+IF(COUNTIF(U51:BD51,1),1,0)))</f>
        <v>0</v>
      </c>
      <c r="U51" cm="1">
        <f t="array" aca="1" ref="U51" ca="1">GetPin_RA8D1_32SD_MIPI</f>
        <v>0</v>
      </c>
      <c r="V51" cm="1">
        <f t="array" aca="1" ref="V51" ca="1">GetPin_RA8D1_32SD_MIPI</f>
        <v>0</v>
      </c>
      <c r="W51" cm="1">
        <f t="array" aca="1" ref="W51" ca="1">GetPin_RA8D1_32SD_MIPI</f>
        <v>0</v>
      </c>
      <c r="X51" cm="1">
        <f t="array" aca="1" ref="X51" ca="1">GetPin_RA8D1_32SD_MIPI</f>
        <v>0</v>
      </c>
      <c r="Y51" cm="1">
        <f t="array" aca="1" ref="Y51" ca="1">GetPin_RA8D1_32SD_MIPI</f>
        <v>0</v>
      </c>
      <c r="Z51" cm="1">
        <f t="array" aca="1" ref="Z51" ca="1">GetPin_RA8D1_32SD_MIPI</f>
        <v>0</v>
      </c>
      <c r="AA51" cm="1">
        <f t="array" aca="1" ref="AA51" ca="1">GetPin_RA8D1_32SD_MIPI</f>
        <v>0</v>
      </c>
      <c r="AB51" cm="1">
        <f t="array" aca="1" ref="AB51" ca="1">GetPin_RA8D1_32SD_MIPI</f>
        <v>0</v>
      </c>
      <c r="AC51" cm="1">
        <f t="array" aca="1" ref="AC51" ca="1">GetPin_RA8D1_32SD_MIPI</f>
        <v>0</v>
      </c>
      <c r="AD51" cm="1">
        <f t="array" aca="1" ref="AD51" ca="1">GetPin_RA8D1_32SD_MIPI</f>
        <v>0</v>
      </c>
      <c r="AE51" cm="1">
        <f t="array" aca="1" ref="AE51" ca="1">GetPin_RA8D1_32SD_MIPI</f>
        <v>0</v>
      </c>
      <c r="AF51" cm="1">
        <f t="array" aca="1" ref="AF51" ca="1">GetPin_RA8D1_32SD_MIPI</f>
        <v>0</v>
      </c>
      <c r="AG51" cm="1">
        <f t="array" aca="1" ref="AG51" ca="1">GetPin_RA8D1_32SD_MIPI</f>
        <v>0</v>
      </c>
      <c r="AH51" cm="1">
        <f t="array" aca="1" ref="AH51" ca="1">GetPin_RA8D1_32SD_MIPI</f>
        <v>0</v>
      </c>
      <c r="AI51" cm="1">
        <f t="array" aca="1" ref="AI51" ca="1">GetPin_RA8D1_32SD_MIPI</f>
        <v>0</v>
      </c>
      <c r="AJ51" cm="1">
        <f t="array" aca="1" ref="AJ51" ca="1">GetPin_RA8D1_32SD_MIPI</f>
        <v>0</v>
      </c>
      <c r="AK51" cm="1">
        <f t="array" aca="1" ref="AK51" ca="1">GetPin_RA8D1_32SD_MIPI</f>
        <v>0</v>
      </c>
      <c r="AL51" cm="1">
        <f t="array" aca="1" ref="AL51" ca="1">GetPin_RA8D1_32SD_MIPI</f>
        <v>0</v>
      </c>
      <c r="AM51" cm="1">
        <f t="array" aca="1" ref="AM51" ca="1">GetPin_RA8D1_32SD_MIPI</f>
        <v>0</v>
      </c>
      <c r="AN51" cm="1">
        <f t="array" aca="1" ref="AN51" ca="1">GetPin_RA8D1_32SD_MIPI</f>
        <v>0</v>
      </c>
      <c r="AO51" cm="1">
        <f t="array" aca="1" ref="AO51" ca="1">GetPin_RA8D1_32SD_MIPI</f>
        <v>0</v>
      </c>
      <c r="AP51" cm="1">
        <f t="array" aca="1" ref="AP51" ca="1">GetPin_RA8D1_32SD_MIPI</f>
        <v>0</v>
      </c>
      <c r="AQ51" cm="1">
        <f t="array" aca="1" ref="AQ51" ca="1">GetPin_RA8D1_32SD_MIPI</f>
        <v>0</v>
      </c>
      <c r="AR51" cm="1">
        <f t="array" aca="1" ref="AR51" ca="1">GetPin_RA8D1_32SD_MIPI</f>
        <v>0</v>
      </c>
      <c r="AS51" cm="1">
        <f t="array" aca="1" ref="AS51" ca="1">GetPin_RA8D1_32SD_MIPI</f>
        <v>0</v>
      </c>
      <c r="AT51" cm="1">
        <f t="array" aca="1" ref="AT51" ca="1">GetPin_RA8D1_32SD_MIPI</f>
        <v>0</v>
      </c>
      <c r="AU51" cm="1">
        <f t="array" aca="1" ref="AU51" ca="1">GetPin_RA8D1_32SD_MIPI</f>
        <v>0</v>
      </c>
      <c r="AV51" cm="1">
        <f t="array" aca="1" ref="AV51" ca="1">GetPin_RA8D1_32SD_MIPI</f>
        <v>0</v>
      </c>
      <c r="AW51" cm="1">
        <f t="array" aca="1" ref="AW51" ca="1">GetPin_RA8D1_32SD_MIPI</f>
        <v>0</v>
      </c>
      <c r="AX51" cm="1">
        <f t="array" aca="1" ref="AX51" ca="1">GetPin_RA8D1_32SD_MIPI</f>
        <v>0</v>
      </c>
      <c r="AY51" cm="1">
        <f t="array" aca="1" ref="AY51" ca="1">GetPin_RA8D1_32SD_MIPI</f>
        <v>0</v>
      </c>
      <c r="AZ51" cm="1">
        <f t="array" aca="1" ref="AZ51" ca="1">GetPin_RA8D1_32SD_MIPI</f>
        <v>0</v>
      </c>
      <c r="BA51" cm="1">
        <f t="array" aca="1" ref="BA51" ca="1">GetPin_RA8D1_32SD_MIPI</f>
        <v>0</v>
      </c>
      <c r="BB51" cm="1">
        <f t="array" aca="1" ref="BB51" ca="1">GetPin_RA8D1_32SD_MIPI</f>
        <v>0</v>
      </c>
      <c r="BC51" cm="1">
        <f t="array" aca="1" ref="BC51" ca="1">GetPin_RA8D1_32SD_MIPI</f>
        <v>0</v>
      </c>
      <c r="BD51" cm="1">
        <f t="array" aca="1" ref="BD51" ca="1">GetPin_RA8D1_32SD_MIPI</f>
        <v>0</v>
      </c>
      <c r="BG51">
        <v>31</v>
      </c>
    </row>
    <row r="52" spans="17:59" x14ac:dyDescent="0.25">
      <c r="Q52">
        <f>IF(ISBLANK(BoardBTB!Q52),-1,(COUNTIF(U52:BD52,4)*4+IF(COUNTIF(U52:BD52,2),1,0)*2+IF(COUNTIF(U52:BD52,1),1,0)))</f>
        <v>-1</v>
      </c>
      <c r="R52">
        <f>IF(ISBLANK(BoardBTB!R52),-1,(COUNTIF(U52:BD52,4)*4+IF(COUNTIF(U52:BD52,2),1,0)*2+IF(COUNTIF(U52:BD52,1),1,0)))</f>
        <v>-1</v>
      </c>
      <c r="S52">
        <f>IF(ISBLANK(BoardBTB!S52),-1,(COUNTIF(U52:BD52,4)*4+IF(COUNTIF(U52:BD52,2),1,0)*2+IF(COUNTIF(U52:BD52,1),1,0)))</f>
        <v>-1</v>
      </c>
      <c r="T52">
        <f ca="1">IF(ISBLANK(BoardBTB!T52),-1,(COUNTIF(U52:BD52,4)*4+IF(COUNTIF(U52:BD52,2),1,0)*2+IF(COUNTIF(U52:BD52,1),1,0)))</f>
        <v>1</v>
      </c>
      <c r="U52" cm="1">
        <f t="array" aca="1" ref="U52" ca="1">GetPin_RA8D1_32SD_MIPI</f>
        <v>0</v>
      </c>
      <c r="V52" cm="1">
        <f t="array" aca="1" ref="V52" ca="1">GetPin_RA8D1_32SD_MIPI</f>
        <v>0</v>
      </c>
      <c r="W52" cm="1">
        <f t="array" aca="1" ref="W52" ca="1">GetPin_RA8D1_32SD_MIPI</f>
        <v>0</v>
      </c>
      <c r="X52" cm="1">
        <f t="array" aca="1" ref="X52" ca="1">GetPin_RA8D1_32SD_MIPI</f>
        <v>0</v>
      </c>
      <c r="Y52" cm="1">
        <f t="array" aca="1" ref="Y52" ca="1">GetPin_RA8D1_32SD_MIPI</f>
        <v>0</v>
      </c>
      <c r="Z52" cm="1">
        <f t="array" aca="1" ref="Z52" ca="1">GetPin_RA8D1_32SD_MIPI</f>
        <v>0</v>
      </c>
      <c r="AA52" cm="1">
        <f t="array" aca="1" ref="AA52" ca="1">GetPin_RA8D1_32SD_MIPI</f>
        <v>0</v>
      </c>
      <c r="AB52" cm="1">
        <f t="array" aca="1" ref="AB52" ca="1">GetPin_RA8D1_32SD_MIPI</f>
        <v>0</v>
      </c>
      <c r="AC52" cm="1">
        <f t="array" aca="1" ref="AC52" ca="1">GetPin_RA8D1_32SD_MIPI</f>
        <v>0</v>
      </c>
      <c r="AD52" cm="1">
        <f t="array" aca="1" ref="AD52" ca="1">GetPin_RA8D1_32SD_MIPI</f>
        <v>0</v>
      </c>
      <c r="AE52" cm="1">
        <f t="array" aca="1" ref="AE52" ca="1">GetPin_RA8D1_32SD_MIPI</f>
        <v>0</v>
      </c>
      <c r="AF52" cm="1">
        <f t="array" aca="1" ref="AF52" ca="1">GetPin_RA8D1_32SD_MIPI</f>
        <v>0</v>
      </c>
      <c r="AG52" cm="1">
        <f t="array" aca="1" ref="AG52" ca="1">GetPin_RA8D1_32SD_MIPI</f>
        <v>0</v>
      </c>
      <c r="AH52" cm="1">
        <f t="array" aca="1" ref="AH52" ca="1">GetPin_RA8D1_32SD_MIPI</f>
        <v>1</v>
      </c>
      <c r="AI52" cm="1">
        <f t="array" aca="1" ref="AI52" ca="1">GetPin_RA8D1_32SD_MIPI</f>
        <v>0</v>
      </c>
      <c r="AJ52" cm="1">
        <f t="array" aca="1" ref="AJ52" ca="1">GetPin_RA8D1_32SD_MIPI</f>
        <v>0</v>
      </c>
      <c r="AK52" cm="1">
        <f t="array" aca="1" ref="AK52" ca="1">GetPin_RA8D1_32SD_MIPI</f>
        <v>0</v>
      </c>
      <c r="AL52" cm="1">
        <f t="array" aca="1" ref="AL52" ca="1">GetPin_RA8D1_32SD_MIPI</f>
        <v>0</v>
      </c>
      <c r="AM52" cm="1">
        <f t="array" aca="1" ref="AM52" ca="1">GetPin_RA8D1_32SD_MIPI</f>
        <v>0</v>
      </c>
      <c r="AN52" cm="1">
        <f t="array" aca="1" ref="AN52" ca="1">GetPin_RA8D1_32SD_MIPI</f>
        <v>0</v>
      </c>
      <c r="AO52" cm="1">
        <f t="array" aca="1" ref="AO52" ca="1">GetPin_RA8D1_32SD_MIPI</f>
        <v>0</v>
      </c>
      <c r="AP52" cm="1">
        <f t="array" aca="1" ref="AP52" ca="1">GetPin_RA8D1_32SD_MIPI</f>
        <v>0</v>
      </c>
      <c r="AQ52" cm="1">
        <f t="array" aca="1" ref="AQ52" ca="1">GetPin_RA8D1_32SD_MIPI</f>
        <v>0</v>
      </c>
      <c r="AR52" cm="1">
        <f t="array" aca="1" ref="AR52" ca="1">GetPin_RA8D1_32SD_MIPI</f>
        <v>0</v>
      </c>
      <c r="AS52" cm="1">
        <f t="array" aca="1" ref="AS52" ca="1">GetPin_RA8D1_32SD_MIPI</f>
        <v>0</v>
      </c>
      <c r="AT52" cm="1">
        <f t="array" aca="1" ref="AT52" ca="1">GetPin_RA8D1_32SD_MIPI</f>
        <v>0</v>
      </c>
      <c r="AU52" cm="1">
        <f t="array" aca="1" ref="AU52" ca="1">GetPin_RA8D1_32SD_MIPI</f>
        <v>0</v>
      </c>
      <c r="AV52" cm="1">
        <f t="array" aca="1" ref="AV52" ca="1">GetPin_RA8D1_32SD_MIPI</f>
        <v>0</v>
      </c>
      <c r="AW52" cm="1">
        <f t="array" aca="1" ref="AW52" ca="1">GetPin_RA8D1_32SD_MIPI</f>
        <v>0</v>
      </c>
      <c r="AX52" cm="1">
        <f t="array" aca="1" ref="AX52" ca="1">GetPin_RA8D1_32SD_MIPI</f>
        <v>0</v>
      </c>
      <c r="AY52" cm="1">
        <f t="array" aca="1" ref="AY52" ca="1">GetPin_RA8D1_32SD_MIPI</f>
        <v>0</v>
      </c>
      <c r="AZ52" cm="1">
        <f t="array" aca="1" ref="AZ52" ca="1">GetPin_RA8D1_32SD_MIPI</f>
        <v>0</v>
      </c>
      <c r="BA52" cm="1">
        <f t="array" aca="1" ref="BA52" ca="1">GetPin_RA8D1_32SD_MIPI</f>
        <v>0</v>
      </c>
      <c r="BB52" cm="1">
        <f t="array" aca="1" ref="BB52" ca="1">GetPin_RA8D1_32SD_MIPI</f>
        <v>0</v>
      </c>
      <c r="BC52" cm="1">
        <f t="array" aca="1" ref="BC52" ca="1">GetPin_RA8D1_32SD_MIPI</f>
        <v>0</v>
      </c>
      <c r="BD52" cm="1">
        <f t="array" aca="1" ref="BD52" ca="1">GetPin_RA8D1_32SD_MIPI</f>
        <v>0</v>
      </c>
      <c r="BG52">
        <v>32</v>
      </c>
    </row>
    <row r="53" spans="17:59" x14ac:dyDescent="0.25">
      <c r="Q53">
        <f>IF(ISBLANK(BoardBTB!Q53),-1,(COUNTIF(U53:BD53,4)*4+IF(COUNTIF(U53:BD53,2),1,0)*2+IF(COUNTIF(U53:BD53,1),1,0)))</f>
        <v>-1</v>
      </c>
      <c r="R53">
        <f>IF(ISBLANK(BoardBTB!R53),-1,(COUNTIF(U53:BD53,4)*4+IF(COUNTIF(U53:BD53,2),1,0)*2+IF(COUNTIF(U53:BD53,1),1,0)))</f>
        <v>-1</v>
      </c>
      <c r="S53">
        <f>IF(ISBLANK(BoardBTB!S53),-1,(COUNTIF(U53:BD53,4)*4+IF(COUNTIF(U53:BD53,2),1,0)*2+IF(COUNTIF(U53:BD53,1),1,0)))</f>
        <v>-1</v>
      </c>
      <c r="T53">
        <f ca="1">IF(ISBLANK(BoardBTB!T53),-1,(COUNTIF(U53:BD53,4)*4+IF(COUNTIF(U53:BD53,2),1,0)*2+IF(COUNTIF(U53:BD53,1),1,0)))</f>
        <v>1</v>
      </c>
      <c r="U53" cm="1">
        <f t="array" aca="1" ref="U53" ca="1">GetPin_RA8D1_32SD_MIPI</f>
        <v>0</v>
      </c>
      <c r="V53" cm="1">
        <f t="array" aca="1" ref="V53" ca="1">GetPin_RA8D1_32SD_MIPI</f>
        <v>0</v>
      </c>
      <c r="W53" cm="1">
        <f t="array" aca="1" ref="W53" ca="1">GetPin_RA8D1_32SD_MIPI</f>
        <v>0</v>
      </c>
      <c r="X53" cm="1">
        <f t="array" aca="1" ref="X53" ca="1">GetPin_RA8D1_32SD_MIPI</f>
        <v>0</v>
      </c>
      <c r="Y53" cm="1">
        <f t="array" aca="1" ref="Y53" ca="1">GetPin_RA8D1_32SD_MIPI</f>
        <v>0</v>
      </c>
      <c r="Z53" cm="1">
        <f t="array" aca="1" ref="Z53" ca="1">GetPin_RA8D1_32SD_MIPI</f>
        <v>0</v>
      </c>
      <c r="AA53" cm="1">
        <f t="array" aca="1" ref="AA53" ca="1">GetPin_RA8D1_32SD_MIPI</f>
        <v>0</v>
      </c>
      <c r="AB53" cm="1">
        <f t="array" aca="1" ref="AB53" ca="1">GetPin_RA8D1_32SD_MIPI</f>
        <v>0</v>
      </c>
      <c r="AC53" cm="1">
        <f t="array" aca="1" ref="AC53" ca="1">GetPin_RA8D1_32SD_MIPI</f>
        <v>0</v>
      </c>
      <c r="AD53" cm="1">
        <f t="array" aca="1" ref="AD53" ca="1">GetPin_RA8D1_32SD_MIPI</f>
        <v>0</v>
      </c>
      <c r="AE53" cm="1">
        <f t="array" aca="1" ref="AE53" ca="1">GetPin_RA8D1_32SD_MIPI</f>
        <v>0</v>
      </c>
      <c r="AF53" cm="1">
        <f t="array" aca="1" ref="AF53" ca="1">GetPin_RA8D1_32SD_MIPI</f>
        <v>0</v>
      </c>
      <c r="AG53" cm="1">
        <f t="array" aca="1" ref="AG53" ca="1">GetPin_RA8D1_32SD_MIPI</f>
        <v>0</v>
      </c>
      <c r="AH53" cm="1">
        <f t="array" aca="1" ref="AH53" ca="1">GetPin_RA8D1_32SD_MIPI</f>
        <v>1</v>
      </c>
      <c r="AI53" cm="1">
        <f t="array" aca="1" ref="AI53" ca="1">GetPin_RA8D1_32SD_MIPI</f>
        <v>0</v>
      </c>
      <c r="AJ53" cm="1">
        <f t="array" aca="1" ref="AJ53" ca="1">GetPin_RA8D1_32SD_MIPI</f>
        <v>0</v>
      </c>
      <c r="AK53" cm="1">
        <f t="array" aca="1" ref="AK53" ca="1">GetPin_RA8D1_32SD_MIPI</f>
        <v>0</v>
      </c>
      <c r="AL53" cm="1">
        <f t="array" aca="1" ref="AL53" ca="1">GetPin_RA8D1_32SD_MIPI</f>
        <v>0</v>
      </c>
      <c r="AM53" cm="1">
        <f t="array" aca="1" ref="AM53" ca="1">GetPin_RA8D1_32SD_MIPI</f>
        <v>0</v>
      </c>
      <c r="AN53" cm="1">
        <f t="array" aca="1" ref="AN53" ca="1">GetPin_RA8D1_32SD_MIPI</f>
        <v>0</v>
      </c>
      <c r="AO53" cm="1">
        <f t="array" aca="1" ref="AO53" ca="1">GetPin_RA8D1_32SD_MIPI</f>
        <v>0</v>
      </c>
      <c r="AP53" cm="1">
        <f t="array" aca="1" ref="AP53" ca="1">GetPin_RA8D1_32SD_MIPI</f>
        <v>0</v>
      </c>
      <c r="AQ53" cm="1">
        <f t="array" aca="1" ref="AQ53" ca="1">GetPin_RA8D1_32SD_MIPI</f>
        <v>0</v>
      </c>
      <c r="AR53" cm="1">
        <f t="array" aca="1" ref="AR53" ca="1">GetPin_RA8D1_32SD_MIPI</f>
        <v>0</v>
      </c>
      <c r="AS53" cm="1">
        <f t="array" aca="1" ref="AS53" ca="1">GetPin_RA8D1_32SD_MIPI</f>
        <v>0</v>
      </c>
      <c r="AT53" cm="1">
        <f t="array" aca="1" ref="AT53" ca="1">GetPin_RA8D1_32SD_MIPI</f>
        <v>0</v>
      </c>
      <c r="AU53" cm="1">
        <f t="array" aca="1" ref="AU53" ca="1">GetPin_RA8D1_32SD_MIPI</f>
        <v>0</v>
      </c>
      <c r="AV53" cm="1">
        <f t="array" aca="1" ref="AV53" ca="1">GetPin_RA8D1_32SD_MIPI</f>
        <v>0</v>
      </c>
      <c r="AW53" cm="1">
        <f t="array" aca="1" ref="AW53" ca="1">GetPin_RA8D1_32SD_MIPI</f>
        <v>0</v>
      </c>
      <c r="AX53" cm="1">
        <f t="array" aca="1" ref="AX53" ca="1">GetPin_RA8D1_32SD_MIPI</f>
        <v>0</v>
      </c>
      <c r="AY53" cm="1">
        <f t="array" aca="1" ref="AY53" ca="1">GetPin_RA8D1_32SD_MIPI</f>
        <v>0</v>
      </c>
      <c r="AZ53" cm="1">
        <f t="array" aca="1" ref="AZ53" ca="1">GetPin_RA8D1_32SD_MIPI</f>
        <v>0</v>
      </c>
      <c r="BA53" cm="1">
        <f t="array" aca="1" ref="BA53" ca="1">GetPin_RA8D1_32SD_MIPI</f>
        <v>0</v>
      </c>
      <c r="BB53" cm="1">
        <f t="array" aca="1" ref="BB53" ca="1">GetPin_RA8D1_32SD_MIPI</f>
        <v>0</v>
      </c>
      <c r="BC53" cm="1">
        <f t="array" aca="1" ref="BC53" ca="1">GetPin_RA8D1_32SD_MIPI</f>
        <v>0</v>
      </c>
      <c r="BD53" cm="1">
        <f t="array" aca="1" ref="BD53" ca="1">GetPin_RA8D1_32SD_MIPI</f>
        <v>0</v>
      </c>
      <c r="BG53">
        <v>33</v>
      </c>
    </row>
    <row r="54" spans="17:59" x14ac:dyDescent="0.25">
      <c r="Q54">
        <f>IF(ISBLANK(BoardBTB!Q54),-1,(COUNTIF(U54:BD54,4)*4+IF(COUNTIF(U54:BD54,2),1,0)*2+IF(COUNTIF(U54:BD54,1),1,0)))</f>
        <v>-1</v>
      </c>
      <c r="R54">
        <f>IF(ISBLANK(BoardBTB!R54),-1,(COUNTIF(U54:BD54,4)*4+IF(COUNTIF(U54:BD54,2),1,0)*2+IF(COUNTIF(U54:BD54,1),1,0)))</f>
        <v>-1</v>
      </c>
      <c r="S54">
        <f>IF(ISBLANK(BoardBTB!S54),-1,(COUNTIF(U54:BD54,4)*4+IF(COUNTIF(U54:BD54,2),1,0)*2+IF(COUNTIF(U54:BD54,1),1,0)))</f>
        <v>-1</v>
      </c>
      <c r="T54">
        <f ca="1">IF(ISBLANK(BoardBTB!T54),-1,(COUNTIF(U54:BD54,4)*4+IF(COUNTIF(U54:BD54,2),1,0)*2+IF(COUNTIF(U54:BD54,1),1,0)))</f>
        <v>0</v>
      </c>
      <c r="U54" cm="1">
        <f t="array" aca="1" ref="U54" ca="1">GetPin_RA8D1_32SD_MIPI</f>
        <v>0</v>
      </c>
      <c r="V54" cm="1">
        <f t="array" aca="1" ref="V54" ca="1">GetPin_RA8D1_32SD_MIPI</f>
        <v>0</v>
      </c>
      <c r="W54" cm="1">
        <f t="array" aca="1" ref="W54" ca="1">GetPin_RA8D1_32SD_MIPI</f>
        <v>0</v>
      </c>
      <c r="X54" cm="1">
        <f t="array" aca="1" ref="X54" ca="1">GetPin_RA8D1_32SD_MIPI</f>
        <v>0</v>
      </c>
      <c r="Y54" cm="1">
        <f t="array" aca="1" ref="Y54" ca="1">GetPin_RA8D1_32SD_MIPI</f>
        <v>0</v>
      </c>
      <c r="Z54" cm="1">
        <f t="array" aca="1" ref="Z54" ca="1">GetPin_RA8D1_32SD_MIPI</f>
        <v>0</v>
      </c>
      <c r="AA54" cm="1">
        <f t="array" aca="1" ref="AA54" ca="1">GetPin_RA8D1_32SD_MIPI</f>
        <v>0</v>
      </c>
      <c r="AB54" cm="1">
        <f t="array" aca="1" ref="AB54" ca="1">GetPin_RA8D1_32SD_MIPI</f>
        <v>0</v>
      </c>
      <c r="AC54" cm="1">
        <f t="array" aca="1" ref="AC54" ca="1">GetPin_RA8D1_32SD_MIPI</f>
        <v>0</v>
      </c>
      <c r="AD54" cm="1">
        <f t="array" aca="1" ref="AD54" ca="1">GetPin_RA8D1_32SD_MIPI</f>
        <v>0</v>
      </c>
      <c r="AE54" cm="1">
        <f t="array" aca="1" ref="AE54" ca="1">GetPin_RA8D1_32SD_MIPI</f>
        <v>0</v>
      </c>
      <c r="AF54" cm="1">
        <f t="array" aca="1" ref="AF54" ca="1">GetPin_RA8D1_32SD_MIPI</f>
        <v>0</v>
      </c>
      <c r="AG54" cm="1">
        <f t="array" aca="1" ref="AG54" ca="1">GetPin_RA8D1_32SD_MIPI</f>
        <v>0</v>
      </c>
      <c r="AH54" cm="1">
        <f t="array" aca="1" ref="AH54" ca="1">GetPin_RA8D1_32SD_MIPI</f>
        <v>0</v>
      </c>
      <c r="AI54" cm="1">
        <f t="array" aca="1" ref="AI54" ca="1">GetPin_RA8D1_32SD_MIPI</f>
        <v>0</v>
      </c>
      <c r="AJ54" cm="1">
        <f t="array" aca="1" ref="AJ54" ca="1">GetPin_RA8D1_32SD_MIPI</f>
        <v>0</v>
      </c>
      <c r="AK54" cm="1">
        <f t="array" aca="1" ref="AK54" ca="1">GetPin_RA8D1_32SD_MIPI</f>
        <v>0</v>
      </c>
      <c r="AL54" cm="1">
        <f t="array" aca="1" ref="AL54" ca="1">GetPin_RA8D1_32SD_MIPI</f>
        <v>0</v>
      </c>
      <c r="AM54" cm="1">
        <f t="array" aca="1" ref="AM54" ca="1">GetPin_RA8D1_32SD_MIPI</f>
        <v>0</v>
      </c>
      <c r="AN54" cm="1">
        <f t="array" aca="1" ref="AN54" ca="1">GetPin_RA8D1_32SD_MIPI</f>
        <v>0</v>
      </c>
      <c r="AO54" cm="1">
        <f t="array" aca="1" ref="AO54" ca="1">GetPin_RA8D1_32SD_MIPI</f>
        <v>0</v>
      </c>
      <c r="AP54" cm="1">
        <f t="array" aca="1" ref="AP54" ca="1">GetPin_RA8D1_32SD_MIPI</f>
        <v>0</v>
      </c>
      <c r="AQ54" cm="1">
        <f t="array" aca="1" ref="AQ54" ca="1">GetPin_RA8D1_32SD_MIPI</f>
        <v>0</v>
      </c>
      <c r="AR54" cm="1">
        <f t="array" aca="1" ref="AR54" ca="1">GetPin_RA8D1_32SD_MIPI</f>
        <v>0</v>
      </c>
      <c r="AS54" cm="1">
        <f t="array" aca="1" ref="AS54" ca="1">GetPin_RA8D1_32SD_MIPI</f>
        <v>0</v>
      </c>
      <c r="AT54" cm="1">
        <f t="array" aca="1" ref="AT54" ca="1">GetPin_RA8D1_32SD_MIPI</f>
        <v>0</v>
      </c>
      <c r="AU54" cm="1">
        <f t="array" aca="1" ref="AU54" ca="1">GetPin_RA8D1_32SD_MIPI</f>
        <v>0</v>
      </c>
      <c r="AV54" cm="1">
        <f t="array" aca="1" ref="AV54" ca="1">GetPin_RA8D1_32SD_MIPI</f>
        <v>0</v>
      </c>
      <c r="AW54" cm="1">
        <f t="array" aca="1" ref="AW54" ca="1">GetPin_RA8D1_32SD_MIPI</f>
        <v>0</v>
      </c>
      <c r="AX54" cm="1">
        <f t="array" aca="1" ref="AX54" ca="1">GetPin_RA8D1_32SD_MIPI</f>
        <v>0</v>
      </c>
      <c r="AY54" cm="1">
        <f t="array" aca="1" ref="AY54" ca="1">GetPin_RA8D1_32SD_MIPI</f>
        <v>0</v>
      </c>
      <c r="AZ54" cm="1">
        <f t="array" aca="1" ref="AZ54" ca="1">GetPin_RA8D1_32SD_MIPI</f>
        <v>0</v>
      </c>
      <c r="BA54" cm="1">
        <f t="array" aca="1" ref="BA54" ca="1">GetPin_RA8D1_32SD_MIPI</f>
        <v>0</v>
      </c>
      <c r="BB54" cm="1">
        <f t="array" aca="1" ref="BB54" ca="1">GetPin_RA8D1_32SD_MIPI</f>
        <v>0</v>
      </c>
      <c r="BC54" cm="1">
        <f t="array" aca="1" ref="BC54" ca="1">GetPin_RA8D1_32SD_MIPI</f>
        <v>0</v>
      </c>
      <c r="BD54" cm="1">
        <f t="array" aca="1" ref="BD54" ca="1">GetPin_RA8D1_32SD_MIPI</f>
        <v>0</v>
      </c>
      <c r="BG54">
        <v>34</v>
      </c>
    </row>
    <row r="55" spans="17:59" x14ac:dyDescent="0.25">
      <c r="Q55">
        <f>IF(ISBLANK(BoardBTB!Q55),-1,(COUNTIF(U55:BD55,4)*4+IF(COUNTIF(U55:BD55,2),1,0)*2+IF(COUNTIF(U55:BD55,1),1,0)))</f>
        <v>-1</v>
      </c>
      <c r="R55">
        <f>IF(ISBLANK(BoardBTB!R55),-1,(COUNTIF(U55:BD55,4)*4+IF(COUNTIF(U55:BD55,2),1,0)*2+IF(COUNTIF(U55:BD55,1),1,0)))</f>
        <v>-1</v>
      </c>
      <c r="S55">
        <f>IF(ISBLANK(BoardBTB!S55),-1,(COUNTIF(U55:BD55,4)*4+IF(COUNTIF(U55:BD55,2),1,0)*2+IF(COUNTIF(U55:BD55,1),1,0)))</f>
        <v>-1</v>
      </c>
      <c r="T55">
        <f ca="1">IF(ISBLANK(BoardBTB!T55),-1,(COUNTIF(U55:BD55,4)*4+IF(COUNTIF(U55:BD55,2),1,0)*2+IF(COUNTIF(U55:BD55,1),1,0)))</f>
        <v>0</v>
      </c>
      <c r="U55" cm="1">
        <f t="array" aca="1" ref="U55" ca="1">GetPin_RA8D1_32SD_MIPI</f>
        <v>0</v>
      </c>
      <c r="V55" cm="1">
        <f t="array" aca="1" ref="V55" ca="1">GetPin_RA8D1_32SD_MIPI</f>
        <v>0</v>
      </c>
      <c r="W55" cm="1">
        <f t="array" aca="1" ref="W55" ca="1">GetPin_RA8D1_32SD_MIPI</f>
        <v>0</v>
      </c>
      <c r="X55" cm="1">
        <f t="array" aca="1" ref="X55" ca="1">GetPin_RA8D1_32SD_MIPI</f>
        <v>0</v>
      </c>
      <c r="Y55" cm="1">
        <f t="array" aca="1" ref="Y55" ca="1">GetPin_RA8D1_32SD_MIPI</f>
        <v>0</v>
      </c>
      <c r="Z55" cm="1">
        <f t="array" aca="1" ref="Z55" ca="1">GetPin_RA8D1_32SD_MIPI</f>
        <v>0</v>
      </c>
      <c r="AA55" cm="1">
        <f t="array" aca="1" ref="AA55" ca="1">GetPin_RA8D1_32SD_MIPI</f>
        <v>0</v>
      </c>
      <c r="AB55" cm="1">
        <f t="array" aca="1" ref="AB55" ca="1">GetPin_RA8D1_32SD_MIPI</f>
        <v>0</v>
      </c>
      <c r="AC55" cm="1">
        <f t="array" aca="1" ref="AC55" ca="1">GetPin_RA8D1_32SD_MIPI</f>
        <v>0</v>
      </c>
      <c r="AD55" cm="1">
        <f t="array" aca="1" ref="AD55" ca="1">GetPin_RA8D1_32SD_MIPI</f>
        <v>0</v>
      </c>
      <c r="AE55" cm="1">
        <f t="array" aca="1" ref="AE55" ca="1">GetPin_RA8D1_32SD_MIPI</f>
        <v>0</v>
      </c>
      <c r="AF55" cm="1">
        <f t="array" aca="1" ref="AF55" ca="1">GetPin_RA8D1_32SD_MIPI</f>
        <v>0</v>
      </c>
      <c r="AG55" cm="1">
        <f t="array" aca="1" ref="AG55" ca="1">GetPin_RA8D1_32SD_MIPI</f>
        <v>0</v>
      </c>
      <c r="AH55" cm="1">
        <f t="array" aca="1" ref="AH55" ca="1">GetPin_RA8D1_32SD_MIPI</f>
        <v>0</v>
      </c>
      <c r="AI55" cm="1">
        <f t="array" aca="1" ref="AI55" ca="1">GetPin_RA8D1_32SD_MIPI</f>
        <v>0</v>
      </c>
      <c r="AJ55" cm="1">
        <f t="array" aca="1" ref="AJ55" ca="1">GetPin_RA8D1_32SD_MIPI</f>
        <v>0</v>
      </c>
      <c r="AK55" cm="1">
        <f t="array" aca="1" ref="AK55" ca="1">GetPin_RA8D1_32SD_MIPI</f>
        <v>0</v>
      </c>
      <c r="AL55" cm="1">
        <f t="array" aca="1" ref="AL55" ca="1">GetPin_RA8D1_32SD_MIPI</f>
        <v>0</v>
      </c>
      <c r="AM55" cm="1">
        <f t="array" aca="1" ref="AM55" ca="1">GetPin_RA8D1_32SD_MIPI</f>
        <v>0</v>
      </c>
      <c r="AN55" cm="1">
        <f t="array" aca="1" ref="AN55" ca="1">GetPin_RA8D1_32SD_MIPI</f>
        <v>0</v>
      </c>
      <c r="AO55" cm="1">
        <f t="array" aca="1" ref="AO55" ca="1">GetPin_RA8D1_32SD_MIPI</f>
        <v>0</v>
      </c>
      <c r="AP55" cm="1">
        <f t="array" aca="1" ref="AP55" ca="1">GetPin_RA8D1_32SD_MIPI</f>
        <v>0</v>
      </c>
      <c r="AQ55" cm="1">
        <f t="array" aca="1" ref="AQ55" ca="1">GetPin_RA8D1_32SD_MIPI</f>
        <v>0</v>
      </c>
      <c r="AR55" cm="1">
        <f t="array" aca="1" ref="AR55" ca="1">GetPin_RA8D1_32SD_MIPI</f>
        <v>0</v>
      </c>
      <c r="AS55" cm="1">
        <f t="array" aca="1" ref="AS55" ca="1">GetPin_RA8D1_32SD_MIPI</f>
        <v>0</v>
      </c>
      <c r="AT55" cm="1">
        <f t="array" aca="1" ref="AT55" ca="1">GetPin_RA8D1_32SD_MIPI</f>
        <v>0</v>
      </c>
      <c r="AU55" cm="1">
        <f t="array" aca="1" ref="AU55" ca="1">GetPin_RA8D1_32SD_MIPI</f>
        <v>0</v>
      </c>
      <c r="AV55" cm="1">
        <f t="array" aca="1" ref="AV55" ca="1">GetPin_RA8D1_32SD_MIPI</f>
        <v>0</v>
      </c>
      <c r="AW55" cm="1">
        <f t="array" aca="1" ref="AW55" ca="1">GetPin_RA8D1_32SD_MIPI</f>
        <v>0</v>
      </c>
      <c r="AX55" cm="1">
        <f t="array" aca="1" ref="AX55" ca="1">GetPin_RA8D1_32SD_MIPI</f>
        <v>0</v>
      </c>
      <c r="AY55" cm="1">
        <f t="array" aca="1" ref="AY55" ca="1">GetPin_RA8D1_32SD_MIPI</f>
        <v>0</v>
      </c>
      <c r="AZ55" cm="1">
        <f t="array" aca="1" ref="AZ55" ca="1">GetPin_RA8D1_32SD_MIPI</f>
        <v>0</v>
      </c>
      <c r="BA55" cm="1">
        <f t="array" aca="1" ref="BA55" ca="1">GetPin_RA8D1_32SD_MIPI</f>
        <v>0</v>
      </c>
      <c r="BB55" cm="1">
        <f t="array" aca="1" ref="BB55" ca="1">GetPin_RA8D1_32SD_MIPI</f>
        <v>0</v>
      </c>
      <c r="BC55" cm="1">
        <f t="array" aca="1" ref="BC55" ca="1">GetPin_RA8D1_32SD_MIPI</f>
        <v>0</v>
      </c>
      <c r="BD55" cm="1">
        <f t="array" aca="1" ref="BD55" ca="1">GetPin_RA8D1_32SD_MIPI</f>
        <v>0</v>
      </c>
      <c r="BG55">
        <v>35</v>
      </c>
    </row>
    <row r="56" spans="17:59" x14ac:dyDescent="0.25">
      <c r="Q56">
        <f>IF(ISBLANK(BoardBTB!Q56),-1,(COUNTIF(U56:BD56,4)*4+IF(COUNTIF(U56:BD56,2),1,0)*2+IF(COUNTIF(U56:BD56,1),1,0)))</f>
        <v>-1</v>
      </c>
      <c r="R56">
        <f>IF(ISBLANK(BoardBTB!R56),-1,(COUNTIF(U56:BD56,4)*4+IF(COUNTIF(U56:BD56,2),1,0)*2+IF(COUNTIF(U56:BD56,1),1,0)))</f>
        <v>-1</v>
      </c>
      <c r="S56">
        <f>IF(ISBLANK(BoardBTB!S56),-1,(COUNTIF(U56:BD56,4)*4+IF(COUNTIF(U56:BD56,2),1,0)*2+IF(COUNTIF(U56:BD56,1),1,0)))</f>
        <v>-1</v>
      </c>
      <c r="T56">
        <f ca="1">IF(ISBLANK(BoardBTB!T56),-1,(COUNTIF(U56:BD56,4)*4+IF(COUNTIF(U56:BD56,2),1,0)*2+IF(COUNTIF(U56:BD56,1),1,0)))</f>
        <v>0</v>
      </c>
      <c r="U56" cm="1">
        <f t="array" aca="1" ref="U56" ca="1">GetPin_RA8D1_32SD_MIPI</f>
        <v>0</v>
      </c>
      <c r="V56" cm="1">
        <f t="array" aca="1" ref="V56" ca="1">GetPin_RA8D1_32SD_MIPI</f>
        <v>0</v>
      </c>
      <c r="W56" cm="1">
        <f t="array" aca="1" ref="W56" ca="1">GetPin_RA8D1_32SD_MIPI</f>
        <v>0</v>
      </c>
      <c r="X56" cm="1">
        <f t="array" aca="1" ref="X56" ca="1">GetPin_RA8D1_32SD_MIPI</f>
        <v>0</v>
      </c>
      <c r="Y56" cm="1">
        <f t="array" aca="1" ref="Y56" ca="1">GetPin_RA8D1_32SD_MIPI</f>
        <v>0</v>
      </c>
      <c r="Z56" cm="1">
        <f t="array" aca="1" ref="Z56" ca="1">GetPin_RA8D1_32SD_MIPI</f>
        <v>0</v>
      </c>
      <c r="AA56" cm="1">
        <f t="array" aca="1" ref="AA56" ca="1">GetPin_RA8D1_32SD_MIPI</f>
        <v>0</v>
      </c>
      <c r="AB56" cm="1">
        <f t="array" aca="1" ref="AB56" ca="1">GetPin_RA8D1_32SD_MIPI</f>
        <v>0</v>
      </c>
      <c r="AC56" cm="1">
        <f t="array" aca="1" ref="AC56" ca="1">GetPin_RA8D1_32SD_MIPI</f>
        <v>0</v>
      </c>
      <c r="AD56" cm="1">
        <f t="array" aca="1" ref="AD56" ca="1">GetPin_RA8D1_32SD_MIPI</f>
        <v>0</v>
      </c>
      <c r="AE56" cm="1">
        <f t="array" aca="1" ref="AE56" ca="1">GetPin_RA8D1_32SD_MIPI</f>
        <v>0</v>
      </c>
      <c r="AF56" cm="1">
        <f t="array" aca="1" ref="AF56" ca="1">GetPin_RA8D1_32SD_MIPI</f>
        <v>0</v>
      </c>
      <c r="AG56" cm="1">
        <f t="array" aca="1" ref="AG56" ca="1">GetPin_RA8D1_32SD_MIPI</f>
        <v>0</v>
      </c>
      <c r="AH56" cm="1">
        <f t="array" aca="1" ref="AH56" ca="1">GetPin_RA8D1_32SD_MIPI</f>
        <v>0</v>
      </c>
      <c r="AI56" cm="1">
        <f t="array" aca="1" ref="AI56" ca="1">GetPin_RA8D1_32SD_MIPI</f>
        <v>0</v>
      </c>
      <c r="AJ56" cm="1">
        <f t="array" aca="1" ref="AJ56" ca="1">GetPin_RA8D1_32SD_MIPI</f>
        <v>0</v>
      </c>
      <c r="AK56" cm="1">
        <f t="array" aca="1" ref="AK56" ca="1">GetPin_RA8D1_32SD_MIPI</f>
        <v>0</v>
      </c>
      <c r="AL56" cm="1">
        <f t="array" aca="1" ref="AL56" ca="1">GetPin_RA8D1_32SD_MIPI</f>
        <v>0</v>
      </c>
      <c r="AM56" cm="1">
        <f t="array" aca="1" ref="AM56" ca="1">GetPin_RA8D1_32SD_MIPI</f>
        <v>0</v>
      </c>
      <c r="AN56" cm="1">
        <f t="array" aca="1" ref="AN56" ca="1">GetPin_RA8D1_32SD_MIPI</f>
        <v>0</v>
      </c>
      <c r="AO56" cm="1">
        <f t="array" aca="1" ref="AO56" ca="1">GetPin_RA8D1_32SD_MIPI</f>
        <v>0</v>
      </c>
      <c r="AP56" cm="1">
        <f t="array" aca="1" ref="AP56" ca="1">GetPin_RA8D1_32SD_MIPI</f>
        <v>0</v>
      </c>
      <c r="AQ56" cm="1">
        <f t="array" aca="1" ref="AQ56" ca="1">GetPin_RA8D1_32SD_MIPI</f>
        <v>0</v>
      </c>
      <c r="AR56" cm="1">
        <f t="array" aca="1" ref="AR56" ca="1">GetPin_RA8D1_32SD_MIPI</f>
        <v>0</v>
      </c>
      <c r="AS56" cm="1">
        <f t="array" aca="1" ref="AS56" ca="1">GetPin_RA8D1_32SD_MIPI</f>
        <v>0</v>
      </c>
      <c r="AT56" cm="1">
        <f t="array" aca="1" ref="AT56" ca="1">GetPin_RA8D1_32SD_MIPI</f>
        <v>0</v>
      </c>
      <c r="AU56" cm="1">
        <f t="array" aca="1" ref="AU56" ca="1">GetPin_RA8D1_32SD_MIPI</f>
        <v>0</v>
      </c>
      <c r="AV56" cm="1">
        <f t="array" aca="1" ref="AV56" ca="1">GetPin_RA8D1_32SD_MIPI</f>
        <v>0</v>
      </c>
      <c r="AW56" cm="1">
        <f t="array" aca="1" ref="AW56" ca="1">GetPin_RA8D1_32SD_MIPI</f>
        <v>0</v>
      </c>
      <c r="AX56" cm="1">
        <f t="array" aca="1" ref="AX56" ca="1">GetPin_RA8D1_32SD_MIPI</f>
        <v>0</v>
      </c>
      <c r="AY56" cm="1">
        <f t="array" aca="1" ref="AY56" ca="1">GetPin_RA8D1_32SD_MIPI</f>
        <v>0</v>
      </c>
      <c r="AZ56" cm="1">
        <f t="array" aca="1" ref="AZ56" ca="1">GetPin_RA8D1_32SD_MIPI</f>
        <v>0</v>
      </c>
      <c r="BA56" cm="1">
        <f t="array" aca="1" ref="BA56" ca="1">GetPin_RA8D1_32SD_MIPI</f>
        <v>0</v>
      </c>
      <c r="BB56" cm="1">
        <f t="array" aca="1" ref="BB56" ca="1">GetPin_RA8D1_32SD_MIPI</f>
        <v>0</v>
      </c>
      <c r="BC56" cm="1">
        <f t="array" aca="1" ref="BC56" ca="1">GetPin_RA8D1_32SD_MIPI</f>
        <v>0</v>
      </c>
      <c r="BD56" cm="1">
        <f t="array" aca="1" ref="BD56" ca="1">GetPin_RA8D1_32SD_MIPI</f>
        <v>0</v>
      </c>
      <c r="BG56">
        <v>36</v>
      </c>
    </row>
    <row r="57" spans="17:59" x14ac:dyDescent="0.25">
      <c r="Q57">
        <f>IF(ISBLANK(BoardBTB!Q57),-1,(COUNTIF(U57:BD57,4)*4+IF(COUNTIF(U57:BD57,2),1,0)*2+IF(COUNTIF(U57:BD57,1),1,0)))</f>
        <v>-1</v>
      </c>
      <c r="R57">
        <f>IF(ISBLANK(BoardBTB!R57),-1,(COUNTIF(U57:BD57,4)*4+IF(COUNTIF(U57:BD57,2),1,0)*2+IF(COUNTIF(U57:BD57,1),1,0)))</f>
        <v>-1</v>
      </c>
      <c r="S57">
        <f>IF(ISBLANK(BoardBTB!S57),-1,(COUNTIF(U57:BD57,4)*4+IF(COUNTIF(U57:BD57,2),1,0)*2+IF(COUNTIF(U57:BD57,1),1,0)))</f>
        <v>-1</v>
      </c>
      <c r="T57">
        <f ca="1">IF(ISBLANK(BoardBTB!T57),-1,(COUNTIF(U57:BD57,4)*4+IF(COUNTIF(U57:BD57,2),1,0)*2+IF(COUNTIF(U57:BD57,1),1,0)))</f>
        <v>0</v>
      </c>
      <c r="U57" cm="1">
        <f t="array" aca="1" ref="U57" ca="1">GetPin_RA8D1_32SD_MIPI</f>
        <v>0</v>
      </c>
      <c r="V57" cm="1">
        <f t="array" aca="1" ref="V57" ca="1">GetPin_RA8D1_32SD_MIPI</f>
        <v>0</v>
      </c>
      <c r="W57" cm="1">
        <f t="array" aca="1" ref="W57" ca="1">GetPin_RA8D1_32SD_MIPI</f>
        <v>0</v>
      </c>
      <c r="X57" cm="1">
        <f t="array" aca="1" ref="X57" ca="1">GetPin_RA8D1_32SD_MIPI</f>
        <v>0</v>
      </c>
      <c r="Y57" cm="1">
        <f t="array" aca="1" ref="Y57" ca="1">GetPin_RA8D1_32SD_MIPI</f>
        <v>0</v>
      </c>
      <c r="Z57" cm="1">
        <f t="array" aca="1" ref="Z57" ca="1">GetPin_RA8D1_32SD_MIPI</f>
        <v>0</v>
      </c>
      <c r="AA57" cm="1">
        <f t="array" aca="1" ref="AA57" ca="1">GetPin_RA8D1_32SD_MIPI</f>
        <v>0</v>
      </c>
      <c r="AB57" cm="1">
        <f t="array" aca="1" ref="AB57" ca="1">GetPin_RA8D1_32SD_MIPI</f>
        <v>0</v>
      </c>
      <c r="AC57" cm="1">
        <f t="array" aca="1" ref="AC57" ca="1">GetPin_RA8D1_32SD_MIPI</f>
        <v>0</v>
      </c>
      <c r="AD57" cm="1">
        <f t="array" aca="1" ref="AD57" ca="1">GetPin_RA8D1_32SD_MIPI</f>
        <v>0</v>
      </c>
      <c r="AE57" cm="1">
        <f t="array" aca="1" ref="AE57" ca="1">GetPin_RA8D1_32SD_MIPI</f>
        <v>0</v>
      </c>
      <c r="AF57" cm="1">
        <f t="array" aca="1" ref="AF57" ca="1">GetPin_RA8D1_32SD_MIPI</f>
        <v>0</v>
      </c>
      <c r="AG57" cm="1">
        <f t="array" aca="1" ref="AG57" ca="1">GetPin_RA8D1_32SD_MIPI</f>
        <v>0</v>
      </c>
      <c r="AH57" cm="1">
        <f t="array" aca="1" ref="AH57" ca="1">GetPin_RA8D1_32SD_MIPI</f>
        <v>0</v>
      </c>
      <c r="AI57" cm="1">
        <f t="array" aca="1" ref="AI57" ca="1">GetPin_RA8D1_32SD_MIPI</f>
        <v>0</v>
      </c>
      <c r="AJ57" cm="1">
        <f t="array" aca="1" ref="AJ57" ca="1">GetPin_RA8D1_32SD_MIPI</f>
        <v>0</v>
      </c>
      <c r="AK57" cm="1">
        <f t="array" aca="1" ref="AK57" ca="1">GetPin_RA8D1_32SD_MIPI</f>
        <v>0</v>
      </c>
      <c r="AL57" cm="1">
        <f t="array" aca="1" ref="AL57" ca="1">GetPin_RA8D1_32SD_MIPI</f>
        <v>0</v>
      </c>
      <c r="AM57" cm="1">
        <f t="array" aca="1" ref="AM57" ca="1">GetPin_RA8D1_32SD_MIPI</f>
        <v>0</v>
      </c>
      <c r="AN57" cm="1">
        <f t="array" aca="1" ref="AN57" ca="1">GetPin_RA8D1_32SD_MIPI</f>
        <v>0</v>
      </c>
      <c r="AO57" cm="1">
        <f t="array" aca="1" ref="AO57" ca="1">GetPin_RA8D1_32SD_MIPI</f>
        <v>0</v>
      </c>
      <c r="AP57" cm="1">
        <f t="array" aca="1" ref="AP57" ca="1">GetPin_RA8D1_32SD_MIPI</f>
        <v>0</v>
      </c>
      <c r="AQ57" cm="1">
        <f t="array" aca="1" ref="AQ57" ca="1">GetPin_RA8D1_32SD_MIPI</f>
        <v>0</v>
      </c>
      <c r="AR57" cm="1">
        <f t="array" aca="1" ref="AR57" ca="1">GetPin_RA8D1_32SD_MIPI</f>
        <v>0</v>
      </c>
      <c r="AS57" cm="1">
        <f t="array" aca="1" ref="AS57" ca="1">GetPin_RA8D1_32SD_MIPI</f>
        <v>0</v>
      </c>
      <c r="AT57" cm="1">
        <f t="array" aca="1" ref="AT57" ca="1">GetPin_RA8D1_32SD_MIPI</f>
        <v>0</v>
      </c>
      <c r="AU57" cm="1">
        <f t="array" aca="1" ref="AU57" ca="1">GetPin_RA8D1_32SD_MIPI</f>
        <v>0</v>
      </c>
      <c r="AV57" cm="1">
        <f t="array" aca="1" ref="AV57" ca="1">GetPin_RA8D1_32SD_MIPI</f>
        <v>0</v>
      </c>
      <c r="AW57" cm="1">
        <f t="array" aca="1" ref="AW57" ca="1">GetPin_RA8D1_32SD_MIPI</f>
        <v>0</v>
      </c>
      <c r="AX57" cm="1">
        <f t="array" aca="1" ref="AX57" ca="1">GetPin_RA8D1_32SD_MIPI</f>
        <v>0</v>
      </c>
      <c r="AY57" cm="1">
        <f t="array" aca="1" ref="AY57" ca="1">GetPin_RA8D1_32SD_MIPI</f>
        <v>0</v>
      </c>
      <c r="AZ57" cm="1">
        <f t="array" aca="1" ref="AZ57" ca="1">GetPin_RA8D1_32SD_MIPI</f>
        <v>0</v>
      </c>
      <c r="BA57" cm="1">
        <f t="array" aca="1" ref="BA57" ca="1">GetPin_RA8D1_32SD_MIPI</f>
        <v>0</v>
      </c>
      <c r="BB57" cm="1">
        <f t="array" aca="1" ref="BB57" ca="1">GetPin_RA8D1_32SD_MIPI</f>
        <v>0</v>
      </c>
      <c r="BC57" cm="1">
        <f t="array" aca="1" ref="BC57" ca="1">GetPin_RA8D1_32SD_MIPI</f>
        <v>0</v>
      </c>
      <c r="BD57" cm="1">
        <f t="array" aca="1" ref="BD57" ca="1">GetPin_RA8D1_32SD_MIPI</f>
        <v>0</v>
      </c>
      <c r="BG57">
        <v>37</v>
      </c>
    </row>
    <row r="58" spans="17:59" x14ac:dyDescent="0.25">
      <c r="Q58">
        <f>IF(ISBLANK(BoardBTB!Q58),-1,(COUNTIF(U58:BD58,4)*4+IF(COUNTIF(U58:BD58,2),1,0)*2+IF(COUNTIF(U58:BD58,1),1,0)))</f>
        <v>-1</v>
      </c>
      <c r="R58">
        <f>IF(ISBLANK(BoardBTB!R58),-1,(COUNTIF(U58:BD58,4)*4+IF(COUNTIF(U58:BD58,2),1,0)*2+IF(COUNTIF(U58:BD58,1),1,0)))</f>
        <v>-1</v>
      </c>
      <c r="S58">
        <f>IF(ISBLANK(BoardBTB!S58),-1,(COUNTIF(U58:BD58,4)*4+IF(COUNTIF(U58:BD58,2),1,0)*2+IF(COUNTIF(U58:BD58,1),1,0)))</f>
        <v>-1</v>
      </c>
      <c r="T58">
        <f ca="1">IF(ISBLANK(BoardBTB!T58),-1,(COUNTIF(U58:BD58,4)*4+IF(COUNTIF(U58:BD58,2),1,0)*2+IF(COUNTIF(U58:BD58,1),1,0)))</f>
        <v>0</v>
      </c>
      <c r="U58" cm="1">
        <f t="array" aca="1" ref="U58" ca="1">GetPin_RA8D1_32SD_MIPI</f>
        <v>0</v>
      </c>
      <c r="V58" cm="1">
        <f t="array" aca="1" ref="V58" ca="1">GetPin_RA8D1_32SD_MIPI</f>
        <v>0</v>
      </c>
      <c r="W58" cm="1">
        <f t="array" aca="1" ref="W58" ca="1">GetPin_RA8D1_32SD_MIPI</f>
        <v>0</v>
      </c>
      <c r="X58" cm="1">
        <f t="array" aca="1" ref="X58" ca="1">GetPin_RA8D1_32SD_MIPI</f>
        <v>0</v>
      </c>
      <c r="Y58" cm="1">
        <f t="array" aca="1" ref="Y58" ca="1">GetPin_RA8D1_32SD_MIPI</f>
        <v>0</v>
      </c>
      <c r="Z58" cm="1">
        <f t="array" aca="1" ref="Z58" ca="1">GetPin_RA8D1_32SD_MIPI</f>
        <v>0</v>
      </c>
      <c r="AA58" cm="1">
        <f t="array" aca="1" ref="AA58" ca="1">GetPin_RA8D1_32SD_MIPI</f>
        <v>0</v>
      </c>
      <c r="AB58" cm="1">
        <f t="array" aca="1" ref="AB58" ca="1">GetPin_RA8D1_32SD_MIPI</f>
        <v>0</v>
      </c>
      <c r="AC58" cm="1">
        <f t="array" aca="1" ref="AC58" ca="1">GetPin_RA8D1_32SD_MIPI</f>
        <v>0</v>
      </c>
      <c r="AD58" cm="1">
        <f t="array" aca="1" ref="AD58" ca="1">GetPin_RA8D1_32SD_MIPI</f>
        <v>0</v>
      </c>
      <c r="AE58" cm="1">
        <f t="array" aca="1" ref="AE58" ca="1">GetPin_RA8D1_32SD_MIPI</f>
        <v>0</v>
      </c>
      <c r="AF58" cm="1">
        <f t="array" aca="1" ref="AF58" ca="1">GetPin_RA8D1_32SD_MIPI</f>
        <v>0</v>
      </c>
      <c r="AG58" cm="1">
        <f t="array" aca="1" ref="AG58" ca="1">GetPin_RA8D1_32SD_MIPI</f>
        <v>0</v>
      </c>
      <c r="AH58" cm="1">
        <f t="array" aca="1" ref="AH58" ca="1">GetPin_RA8D1_32SD_MIPI</f>
        <v>0</v>
      </c>
      <c r="AI58" cm="1">
        <f t="array" aca="1" ref="AI58" ca="1">GetPin_RA8D1_32SD_MIPI</f>
        <v>0</v>
      </c>
      <c r="AJ58" cm="1">
        <f t="array" aca="1" ref="AJ58" ca="1">GetPin_RA8D1_32SD_MIPI</f>
        <v>0</v>
      </c>
      <c r="AK58" cm="1">
        <f t="array" aca="1" ref="AK58" ca="1">GetPin_RA8D1_32SD_MIPI</f>
        <v>0</v>
      </c>
      <c r="AL58" cm="1">
        <f t="array" aca="1" ref="AL58" ca="1">GetPin_RA8D1_32SD_MIPI</f>
        <v>0</v>
      </c>
      <c r="AM58" cm="1">
        <f t="array" aca="1" ref="AM58" ca="1">GetPin_RA8D1_32SD_MIPI</f>
        <v>0</v>
      </c>
      <c r="AN58" cm="1">
        <f t="array" aca="1" ref="AN58" ca="1">GetPin_RA8D1_32SD_MIPI</f>
        <v>0</v>
      </c>
      <c r="AO58" cm="1">
        <f t="array" aca="1" ref="AO58" ca="1">GetPin_RA8D1_32SD_MIPI</f>
        <v>0</v>
      </c>
      <c r="AP58" cm="1">
        <f t="array" aca="1" ref="AP58" ca="1">GetPin_RA8D1_32SD_MIPI</f>
        <v>0</v>
      </c>
      <c r="AQ58" cm="1">
        <f t="array" aca="1" ref="AQ58" ca="1">GetPin_RA8D1_32SD_MIPI</f>
        <v>0</v>
      </c>
      <c r="AR58" cm="1">
        <f t="array" aca="1" ref="AR58" ca="1">GetPin_RA8D1_32SD_MIPI</f>
        <v>0</v>
      </c>
      <c r="AS58" cm="1">
        <f t="array" aca="1" ref="AS58" ca="1">GetPin_RA8D1_32SD_MIPI</f>
        <v>0</v>
      </c>
      <c r="AT58" cm="1">
        <f t="array" aca="1" ref="AT58" ca="1">GetPin_RA8D1_32SD_MIPI</f>
        <v>0</v>
      </c>
      <c r="AU58" cm="1">
        <f t="array" aca="1" ref="AU58" ca="1">GetPin_RA8D1_32SD_MIPI</f>
        <v>0</v>
      </c>
      <c r="AV58" cm="1">
        <f t="array" aca="1" ref="AV58" ca="1">GetPin_RA8D1_32SD_MIPI</f>
        <v>0</v>
      </c>
      <c r="AW58" cm="1">
        <f t="array" aca="1" ref="AW58" ca="1">GetPin_RA8D1_32SD_MIPI</f>
        <v>0</v>
      </c>
      <c r="AX58" cm="1">
        <f t="array" aca="1" ref="AX58" ca="1">GetPin_RA8D1_32SD_MIPI</f>
        <v>0</v>
      </c>
      <c r="AY58" cm="1">
        <f t="array" aca="1" ref="AY58" ca="1">GetPin_RA8D1_32SD_MIPI</f>
        <v>0</v>
      </c>
      <c r="AZ58" cm="1">
        <f t="array" aca="1" ref="AZ58" ca="1">GetPin_RA8D1_32SD_MIPI</f>
        <v>0</v>
      </c>
      <c r="BA58" cm="1">
        <f t="array" aca="1" ref="BA58" ca="1">GetPin_RA8D1_32SD_MIPI</f>
        <v>0</v>
      </c>
      <c r="BB58" cm="1">
        <f t="array" aca="1" ref="BB58" ca="1">GetPin_RA8D1_32SD_MIPI</f>
        <v>0</v>
      </c>
      <c r="BC58" cm="1">
        <f t="array" aca="1" ref="BC58" ca="1">GetPin_RA8D1_32SD_MIPI</f>
        <v>0</v>
      </c>
      <c r="BD58" cm="1">
        <f t="array" aca="1" ref="BD58" ca="1">GetPin_RA8D1_32SD_MIPI</f>
        <v>0</v>
      </c>
      <c r="BG58">
        <v>38</v>
      </c>
    </row>
    <row r="59" spans="17:59" x14ac:dyDescent="0.25">
      <c r="Q59">
        <f>IF(ISBLANK(BoardBTB!Q59),-1,(COUNTIF(U59:BD59,4)*4+IF(COUNTIF(U59:BD59,2),1,0)*2+IF(COUNTIF(U59:BD59,1),1,0)))</f>
        <v>-1</v>
      </c>
      <c r="R59">
        <f>IF(ISBLANK(BoardBTB!R59),-1,(COUNTIF(U59:BD59,4)*4+IF(COUNTIF(U59:BD59,2),1,0)*2+IF(COUNTIF(U59:BD59,1),1,0)))</f>
        <v>-1</v>
      </c>
      <c r="S59">
        <f>IF(ISBLANK(BoardBTB!S59),-1,(COUNTIF(U59:BD59,4)*4+IF(COUNTIF(U59:BD59,2),1,0)*2+IF(COUNTIF(U59:BD59,1),1,0)))</f>
        <v>-1</v>
      </c>
      <c r="T59">
        <f ca="1">IF(ISBLANK(BoardBTB!T59),-1,(COUNTIF(U59:BD59,4)*4+IF(COUNTIF(U59:BD59,2),1,0)*2+IF(COUNTIF(U59:BD59,1),1,0)))</f>
        <v>0</v>
      </c>
      <c r="U59" cm="1">
        <f t="array" aca="1" ref="U59" ca="1">GetPin_RA8D1_32SD_MIPI</f>
        <v>0</v>
      </c>
      <c r="V59" cm="1">
        <f t="array" aca="1" ref="V59" ca="1">GetPin_RA8D1_32SD_MIPI</f>
        <v>0</v>
      </c>
      <c r="W59" cm="1">
        <f t="array" aca="1" ref="W59" ca="1">GetPin_RA8D1_32SD_MIPI</f>
        <v>0</v>
      </c>
      <c r="X59" cm="1">
        <f t="array" aca="1" ref="X59" ca="1">GetPin_RA8D1_32SD_MIPI</f>
        <v>0</v>
      </c>
      <c r="Y59" cm="1">
        <f t="array" aca="1" ref="Y59" ca="1">GetPin_RA8D1_32SD_MIPI</f>
        <v>0</v>
      </c>
      <c r="Z59" cm="1">
        <f t="array" aca="1" ref="Z59" ca="1">GetPin_RA8D1_32SD_MIPI</f>
        <v>0</v>
      </c>
      <c r="AA59" cm="1">
        <f t="array" aca="1" ref="AA59" ca="1">GetPin_RA8D1_32SD_MIPI</f>
        <v>0</v>
      </c>
      <c r="AB59" cm="1">
        <f t="array" aca="1" ref="AB59" ca="1">GetPin_RA8D1_32SD_MIPI</f>
        <v>0</v>
      </c>
      <c r="AC59" cm="1">
        <f t="array" aca="1" ref="AC59" ca="1">GetPin_RA8D1_32SD_MIPI</f>
        <v>0</v>
      </c>
      <c r="AD59" cm="1">
        <f t="array" aca="1" ref="AD59" ca="1">GetPin_RA8D1_32SD_MIPI</f>
        <v>0</v>
      </c>
      <c r="AE59" cm="1">
        <f t="array" aca="1" ref="AE59" ca="1">GetPin_RA8D1_32SD_MIPI</f>
        <v>0</v>
      </c>
      <c r="AF59" cm="1">
        <f t="array" aca="1" ref="AF59" ca="1">GetPin_RA8D1_32SD_MIPI</f>
        <v>0</v>
      </c>
      <c r="AG59" cm="1">
        <f t="array" aca="1" ref="AG59" ca="1">GetPin_RA8D1_32SD_MIPI</f>
        <v>0</v>
      </c>
      <c r="AH59" cm="1">
        <f t="array" aca="1" ref="AH59" ca="1">GetPin_RA8D1_32SD_MIPI</f>
        <v>0</v>
      </c>
      <c r="AI59" cm="1">
        <f t="array" aca="1" ref="AI59" ca="1">GetPin_RA8D1_32SD_MIPI</f>
        <v>0</v>
      </c>
      <c r="AJ59" cm="1">
        <f t="array" aca="1" ref="AJ59" ca="1">GetPin_RA8D1_32SD_MIPI</f>
        <v>0</v>
      </c>
      <c r="AK59" cm="1">
        <f t="array" aca="1" ref="AK59" ca="1">GetPin_RA8D1_32SD_MIPI</f>
        <v>0</v>
      </c>
      <c r="AL59" cm="1">
        <f t="array" aca="1" ref="AL59" ca="1">GetPin_RA8D1_32SD_MIPI</f>
        <v>0</v>
      </c>
      <c r="AM59" cm="1">
        <f t="array" aca="1" ref="AM59" ca="1">GetPin_RA8D1_32SD_MIPI</f>
        <v>0</v>
      </c>
      <c r="AN59" cm="1">
        <f t="array" aca="1" ref="AN59" ca="1">GetPin_RA8D1_32SD_MIPI</f>
        <v>0</v>
      </c>
      <c r="AO59" cm="1">
        <f t="array" aca="1" ref="AO59" ca="1">GetPin_RA8D1_32SD_MIPI</f>
        <v>0</v>
      </c>
      <c r="AP59" cm="1">
        <f t="array" aca="1" ref="AP59" ca="1">GetPin_RA8D1_32SD_MIPI</f>
        <v>0</v>
      </c>
      <c r="AQ59" cm="1">
        <f t="array" aca="1" ref="AQ59" ca="1">GetPin_RA8D1_32SD_MIPI</f>
        <v>0</v>
      </c>
      <c r="AR59" cm="1">
        <f t="array" aca="1" ref="AR59" ca="1">GetPin_RA8D1_32SD_MIPI</f>
        <v>0</v>
      </c>
      <c r="AS59" cm="1">
        <f t="array" aca="1" ref="AS59" ca="1">GetPin_RA8D1_32SD_MIPI</f>
        <v>0</v>
      </c>
      <c r="AT59" cm="1">
        <f t="array" aca="1" ref="AT59" ca="1">GetPin_RA8D1_32SD_MIPI</f>
        <v>0</v>
      </c>
      <c r="AU59" cm="1">
        <f t="array" aca="1" ref="AU59" ca="1">GetPin_RA8D1_32SD_MIPI</f>
        <v>0</v>
      </c>
      <c r="AV59" cm="1">
        <f t="array" aca="1" ref="AV59" ca="1">GetPin_RA8D1_32SD_MIPI</f>
        <v>0</v>
      </c>
      <c r="AW59" cm="1">
        <f t="array" aca="1" ref="AW59" ca="1">GetPin_RA8D1_32SD_MIPI</f>
        <v>0</v>
      </c>
      <c r="AX59" cm="1">
        <f t="array" aca="1" ref="AX59" ca="1">GetPin_RA8D1_32SD_MIPI</f>
        <v>0</v>
      </c>
      <c r="AY59" cm="1">
        <f t="array" aca="1" ref="AY59" ca="1">GetPin_RA8D1_32SD_MIPI</f>
        <v>0</v>
      </c>
      <c r="AZ59" cm="1">
        <f t="array" aca="1" ref="AZ59" ca="1">GetPin_RA8D1_32SD_MIPI</f>
        <v>0</v>
      </c>
      <c r="BA59" cm="1">
        <f t="array" aca="1" ref="BA59" ca="1">GetPin_RA8D1_32SD_MIPI</f>
        <v>0</v>
      </c>
      <c r="BB59" cm="1">
        <f t="array" aca="1" ref="BB59" ca="1">GetPin_RA8D1_32SD_MIPI</f>
        <v>0</v>
      </c>
      <c r="BC59" cm="1">
        <f t="array" aca="1" ref="BC59" ca="1">GetPin_RA8D1_32SD_MIPI</f>
        <v>0</v>
      </c>
      <c r="BD59" cm="1">
        <f t="array" aca="1" ref="BD59" ca="1">GetPin_RA8D1_32SD_MIPI</f>
        <v>0</v>
      </c>
      <c r="BG59">
        <v>39</v>
      </c>
    </row>
    <row r="60" spans="17:59" x14ac:dyDescent="0.25">
      <c r="Q60">
        <f>IF(ISBLANK(BoardBTB!Q60),-1,(COUNTIF(U60:BD60,4)*4+IF(COUNTIF(U60:BD60,2),1,0)*2+IF(COUNTIF(U60:BD60,1),1,0)))</f>
        <v>-1</v>
      </c>
      <c r="R60">
        <f>IF(ISBLANK(BoardBTB!R60),-1,(COUNTIF(U60:BD60,4)*4+IF(COUNTIF(U60:BD60,2),1,0)*2+IF(COUNTIF(U60:BD60,1),1,0)))</f>
        <v>-1</v>
      </c>
      <c r="S60">
        <f>IF(ISBLANK(BoardBTB!S60),-1,(COUNTIF(U60:BD60,4)*4+IF(COUNTIF(U60:BD60,2),1,0)*2+IF(COUNTIF(U60:BD60,1),1,0)))</f>
        <v>-1</v>
      </c>
      <c r="T60">
        <f ca="1">IF(ISBLANK(BoardBTB!T60),-1,(COUNTIF(U60:BD60,4)*4+IF(COUNTIF(U60:BD60,2),1,0)*2+IF(COUNTIF(U60:BD60,1),1,0)))</f>
        <v>0</v>
      </c>
      <c r="U60" cm="1">
        <f t="array" aca="1" ref="U60" ca="1">GetPin_RA8D1_32SD_MIPI</f>
        <v>0</v>
      </c>
      <c r="V60" cm="1">
        <f t="array" aca="1" ref="V60" ca="1">GetPin_RA8D1_32SD_MIPI</f>
        <v>0</v>
      </c>
      <c r="W60" cm="1">
        <f t="array" aca="1" ref="W60" ca="1">GetPin_RA8D1_32SD_MIPI</f>
        <v>0</v>
      </c>
      <c r="X60" cm="1">
        <f t="array" aca="1" ref="X60" ca="1">GetPin_RA8D1_32SD_MIPI</f>
        <v>0</v>
      </c>
      <c r="Y60" cm="1">
        <f t="array" aca="1" ref="Y60" ca="1">GetPin_RA8D1_32SD_MIPI</f>
        <v>0</v>
      </c>
      <c r="Z60" cm="1">
        <f t="array" aca="1" ref="Z60" ca="1">GetPin_RA8D1_32SD_MIPI</f>
        <v>0</v>
      </c>
      <c r="AA60" cm="1">
        <f t="array" aca="1" ref="AA60" ca="1">GetPin_RA8D1_32SD_MIPI</f>
        <v>0</v>
      </c>
      <c r="AB60" cm="1">
        <f t="array" aca="1" ref="AB60" ca="1">GetPin_RA8D1_32SD_MIPI</f>
        <v>0</v>
      </c>
      <c r="AC60" cm="1">
        <f t="array" aca="1" ref="AC60" ca="1">GetPin_RA8D1_32SD_MIPI</f>
        <v>0</v>
      </c>
      <c r="AD60" cm="1">
        <f t="array" aca="1" ref="AD60" ca="1">GetPin_RA8D1_32SD_MIPI</f>
        <v>0</v>
      </c>
      <c r="AE60" cm="1">
        <f t="array" aca="1" ref="AE60" ca="1">GetPin_RA8D1_32SD_MIPI</f>
        <v>0</v>
      </c>
      <c r="AF60" cm="1">
        <f t="array" aca="1" ref="AF60" ca="1">GetPin_RA8D1_32SD_MIPI</f>
        <v>0</v>
      </c>
      <c r="AG60" cm="1">
        <f t="array" aca="1" ref="AG60" ca="1">GetPin_RA8D1_32SD_MIPI</f>
        <v>0</v>
      </c>
      <c r="AH60" cm="1">
        <f t="array" aca="1" ref="AH60" ca="1">GetPin_RA8D1_32SD_MIPI</f>
        <v>0</v>
      </c>
      <c r="AI60" cm="1">
        <f t="array" aca="1" ref="AI60" ca="1">GetPin_RA8D1_32SD_MIPI</f>
        <v>0</v>
      </c>
      <c r="AJ60" cm="1">
        <f t="array" aca="1" ref="AJ60" ca="1">GetPin_RA8D1_32SD_MIPI</f>
        <v>0</v>
      </c>
      <c r="AK60" cm="1">
        <f t="array" aca="1" ref="AK60" ca="1">GetPin_RA8D1_32SD_MIPI</f>
        <v>0</v>
      </c>
      <c r="AL60" cm="1">
        <f t="array" aca="1" ref="AL60" ca="1">GetPin_RA8D1_32SD_MIPI</f>
        <v>0</v>
      </c>
      <c r="AM60" cm="1">
        <f t="array" aca="1" ref="AM60" ca="1">GetPin_RA8D1_32SD_MIPI</f>
        <v>0</v>
      </c>
      <c r="AN60" cm="1">
        <f t="array" aca="1" ref="AN60" ca="1">GetPin_RA8D1_32SD_MIPI</f>
        <v>0</v>
      </c>
      <c r="AO60" cm="1">
        <f t="array" aca="1" ref="AO60" ca="1">GetPin_RA8D1_32SD_MIPI</f>
        <v>0</v>
      </c>
      <c r="AP60" cm="1">
        <f t="array" aca="1" ref="AP60" ca="1">GetPin_RA8D1_32SD_MIPI</f>
        <v>0</v>
      </c>
      <c r="AQ60" cm="1">
        <f t="array" aca="1" ref="AQ60" ca="1">GetPin_RA8D1_32SD_MIPI</f>
        <v>0</v>
      </c>
      <c r="AR60" cm="1">
        <f t="array" aca="1" ref="AR60" ca="1">GetPin_RA8D1_32SD_MIPI</f>
        <v>0</v>
      </c>
      <c r="AS60" cm="1">
        <f t="array" aca="1" ref="AS60" ca="1">GetPin_RA8D1_32SD_MIPI</f>
        <v>0</v>
      </c>
      <c r="AT60" cm="1">
        <f t="array" aca="1" ref="AT60" ca="1">GetPin_RA8D1_32SD_MIPI</f>
        <v>0</v>
      </c>
      <c r="AU60" cm="1">
        <f t="array" aca="1" ref="AU60" ca="1">GetPin_RA8D1_32SD_MIPI</f>
        <v>0</v>
      </c>
      <c r="AV60" cm="1">
        <f t="array" aca="1" ref="AV60" ca="1">GetPin_RA8D1_32SD_MIPI</f>
        <v>0</v>
      </c>
      <c r="AW60" cm="1">
        <f t="array" aca="1" ref="AW60" ca="1">GetPin_RA8D1_32SD_MIPI</f>
        <v>0</v>
      </c>
      <c r="AX60" cm="1">
        <f t="array" aca="1" ref="AX60" ca="1">GetPin_RA8D1_32SD_MIPI</f>
        <v>0</v>
      </c>
      <c r="AY60" cm="1">
        <f t="array" aca="1" ref="AY60" ca="1">GetPin_RA8D1_32SD_MIPI</f>
        <v>0</v>
      </c>
      <c r="AZ60" cm="1">
        <f t="array" aca="1" ref="AZ60" ca="1">GetPin_RA8D1_32SD_MIPI</f>
        <v>0</v>
      </c>
      <c r="BA60" cm="1">
        <f t="array" aca="1" ref="BA60" ca="1">GetPin_RA8D1_32SD_MIPI</f>
        <v>0</v>
      </c>
      <c r="BB60" cm="1">
        <f t="array" aca="1" ref="BB60" ca="1">GetPin_RA8D1_32SD_MIPI</f>
        <v>0</v>
      </c>
      <c r="BC60" cm="1">
        <f t="array" aca="1" ref="BC60" ca="1">GetPin_RA8D1_32SD_MIPI</f>
        <v>0</v>
      </c>
      <c r="BD60" cm="1">
        <f t="array" aca="1" ref="BD60" ca="1">GetPin_RA8D1_32SD_MIPI</f>
        <v>0</v>
      </c>
      <c r="BG60">
        <v>40</v>
      </c>
    </row>
    <row r="61" spans="17:59" x14ac:dyDescent="0.25">
      <c r="Q61">
        <f>IF(ISBLANK(BoardBTB!Q61),-1,(COUNTIF(U61:BD61,4)*4+IF(COUNTIF(U61:BD61,2),1,0)*2+IF(COUNTIF(U61:BD61,1),1,0)))</f>
        <v>-1</v>
      </c>
      <c r="R61">
        <f>IF(ISBLANK(BoardBTB!R61),-1,(COUNTIF(U61:BD61,4)*4+IF(COUNTIF(U61:BD61,2),1,0)*2+IF(COUNTIF(U61:BD61,1),1,0)))</f>
        <v>-1</v>
      </c>
      <c r="S61">
        <f>IF(ISBLANK(BoardBTB!S61),-1,(COUNTIF(U61:BD61,4)*4+IF(COUNTIF(U61:BD61,2),1,0)*2+IF(COUNTIF(U61:BD61,1),1,0)))</f>
        <v>-1</v>
      </c>
      <c r="T61">
        <f ca="1">IF(ISBLANK(BoardBTB!T61),-1,(COUNTIF(U61:BD61,4)*4+IF(COUNTIF(U61:BD61,2),1,0)*2+IF(COUNTIF(U61:BD61,1),1,0)))</f>
        <v>0</v>
      </c>
      <c r="U61" cm="1">
        <f t="array" aca="1" ref="U61" ca="1">GetPin_RA8D1_32SD_MIPI</f>
        <v>0</v>
      </c>
      <c r="V61" cm="1">
        <f t="array" aca="1" ref="V61" ca="1">GetPin_RA8D1_32SD_MIPI</f>
        <v>0</v>
      </c>
      <c r="W61" cm="1">
        <f t="array" aca="1" ref="W61" ca="1">GetPin_RA8D1_32SD_MIPI</f>
        <v>0</v>
      </c>
      <c r="X61" cm="1">
        <f t="array" aca="1" ref="X61" ca="1">GetPin_RA8D1_32SD_MIPI</f>
        <v>0</v>
      </c>
      <c r="Y61" cm="1">
        <f t="array" aca="1" ref="Y61" ca="1">GetPin_RA8D1_32SD_MIPI</f>
        <v>0</v>
      </c>
      <c r="Z61" cm="1">
        <f t="array" aca="1" ref="Z61" ca="1">GetPin_RA8D1_32SD_MIPI</f>
        <v>0</v>
      </c>
      <c r="AA61" cm="1">
        <f t="array" aca="1" ref="AA61" ca="1">GetPin_RA8D1_32SD_MIPI</f>
        <v>0</v>
      </c>
      <c r="AB61" cm="1">
        <f t="array" aca="1" ref="AB61" ca="1">GetPin_RA8D1_32SD_MIPI</f>
        <v>0</v>
      </c>
      <c r="AC61" cm="1">
        <f t="array" aca="1" ref="AC61" ca="1">GetPin_RA8D1_32SD_MIPI</f>
        <v>0</v>
      </c>
      <c r="AD61" cm="1">
        <f t="array" aca="1" ref="AD61" ca="1">GetPin_RA8D1_32SD_MIPI</f>
        <v>0</v>
      </c>
      <c r="AE61" cm="1">
        <f t="array" aca="1" ref="AE61" ca="1">GetPin_RA8D1_32SD_MIPI</f>
        <v>0</v>
      </c>
      <c r="AF61" cm="1">
        <f t="array" aca="1" ref="AF61" ca="1">GetPin_RA8D1_32SD_MIPI</f>
        <v>0</v>
      </c>
      <c r="AG61" cm="1">
        <f t="array" aca="1" ref="AG61" ca="1">GetPin_RA8D1_32SD_MIPI</f>
        <v>0</v>
      </c>
      <c r="AH61" cm="1">
        <f t="array" aca="1" ref="AH61" ca="1">GetPin_RA8D1_32SD_MIPI</f>
        <v>0</v>
      </c>
      <c r="AI61" cm="1">
        <f t="array" aca="1" ref="AI61" ca="1">GetPin_RA8D1_32SD_MIPI</f>
        <v>0</v>
      </c>
      <c r="AJ61" cm="1">
        <f t="array" aca="1" ref="AJ61" ca="1">GetPin_RA8D1_32SD_MIPI</f>
        <v>0</v>
      </c>
      <c r="AK61" cm="1">
        <f t="array" aca="1" ref="AK61" ca="1">GetPin_RA8D1_32SD_MIPI</f>
        <v>0</v>
      </c>
      <c r="AL61" cm="1">
        <f t="array" aca="1" ref="AL61" ca="1">GetPin_RA8D1_32SD_MIPI</f>
        <v>0</v>
      </c>
      <c r="AM61" cm="1">
        <f t="array" aca="1" ref="AM61" ca="1">GetPin_RA8D1_32SD_MIPI</f>
        <v>0</v>
      </c>
      <c r="AN61" cm="1">
        <f t="array" aca="1" ref="AN61" ca="1">GetPin_RA8D1_32SD_MIPI</f>
        <v>0</v>
      </c>
      <c r="AO61" cm="1">
        <f t="array" aca="1" ref="AO61" ca="1">GetPin_RA8D1_32SD_MIPI</f>
        <v>0</v>
      </c>
      <c r="AP61" cm="1">
        <f t="array" aca="1" ref="AP61" ca="1">GetPin_RA8D1_32SD_MIPI</f>
        <v>0</v>
      </c>
      <c r="AQ61" cm="1">
        <f t="array" aca="1" ref="AQ61" ca="1">GetPin_RA8D1_32SD_MIPI</f>
        <v>0</v>
      </c>
      <c r="AR61" cm="1">
        <f t="array" aca="1" ref="AR61" ca="1">GetPin_RA8D1_32SD_MIPI</f>
        <v>0</v>
      </c>
      <c r="AS61" cm="1">
        <f t="array" aca="1" ref="AS61" ca="1">GetPin_RA8D1_32SD_MIPI</f>
        <v>0</v>
      </c>
      <c r="AT61" cm="1">
        <f t="array" aca="1" ref="AT61" ca="1">GetPin_RA8D1_32SD_MIPI</f>
        <v>0</v>
      </c>
      <c r="AU61" cm="1">
        <f t="array" aca="1" ref="AU61" ca="1">GetPin_RA8D1_32SD_MIPI</f>
        <v>0</v>
      </c>
      <c r="AV61" cm="1">
        <f t="array" aca="1" ref="AV61" ca="1">GetPin_RA8D1_32SD_MIPI</f>
        <v>0</v>
      </c>
      <c r="AW61" cm="1">
        <f t="array" aca="1" ref="AW61" ca="1">GetPin_RA8D1_32SD_MIPI</f>
        <v>0</v>
      </c>
      <c r="AX61" cm="1">
        <f t="array" aca="1" ref="AX61" ca="1">GetPin_RA8D1_32SD_MIPI</f>
        <v>0</v>
      </c>
      <c r="AY61" cm="1">
        <f t="array" aca="1" ref="AY61" ca="1">GetPin_RA8D1_32SD_MIPI</f>
        <v>0</v>
      </c>
      <c r="AZ61" cm="1">
        <f t="array" aca="1" ref="AZ61" ca="1">GetPin_RA8D1_32SD_MIPI</f>
        <v>0</v>
      </c>
      <c r="BA61" cm="1">
        <f t="array" aca="1" ref="BA61" ca="1">GetPin_RA8D1_32SD_MIPI</f>
        <v>0</v>
      </c>
      <c r="BB61" cm="1">
        <f t="array" aca="1" ref="BB61" ca="1">GetPin_RA8D1_32SD_MIPI</f>
        <v>0</v>
      </c>
      <c r="BC61" cm="1">
        <f t="array" aca="1" ref="BC61" ca="1">GetPin_RA8D1_32SD_MIPI</f>
        <v>0</v>
      </c>
      <c r="BD61" cm="1">
        <f t="array" aca="1" ref="BD61" ca="1">GetPin_RA8D1_32SD_MIPI</f>
        <v>0</v>
      </c>
      <c r="BG61">
        <v>41</v>
      </c>
    </row>
    <row r="62" spans="17:59" x14ac:dyDescent="0.25">
      <c r="Q62">
        <f>IF(ISBLANK(BoardBTB!Q62),-1,(COUNTIF(U62:BD62,4)*4+IF(COUNTIF(U62:BD62,2),1,0)*2+IF(COUNTIF(U62:BD62,1),1,0)))</f>
        <v>-1</v>
      </c>
      <c r="R62">
        <f>IF(ISBLANK(BoardBTB!R62),-1,(COUNTIF(U62:BD62,4)*4+IF(COUNTIF(U62:BD62,2),1,0)*2+IF(COUNTIF(U62:BD62,1),1,0)))</f>
        <v>-1</v>
      </c>
      <c r="S62">
        <f>IF(ISBLANK(BoardBTB!S62),-1,(COUNTIF(U62:BD62,4)*4+IF(COUNTIF(U62:BD62,2),1,0)*2+IF(COUNTIF(U62:BD62,1),1,0)))</f>
        <v>-1</v>
      </c>
      <c r="T62">
        <f ca="1">IF(ISBLANK(BoardBTB!T62),-1,(COUNTIF(U62:BD62,4)*4+IF(COUNTIF(U62:BD62,2),1,0)*2+IF(COUNTIF(U62:BD62,1),1,0)))</f>
        <v>0</v>
      </c>
      <c r="U62" cm="1">
        <f t="array" aca="1" ref="U62" ca="1">GetPin_RA8D1_32SD_MIPI</f>
        <v>0</v>
      </c>
      <c r="V62" cm="1">
        <f t="array" aca="1" ref="V62" ca="1">GetPin_RA8D1_32SD_MIPI</f>
        <v>0</v>
      </c>
      <c r="W62" cm="1">
        <f t="array" aca="1" ref="W62" ca="1">GetPin_RA8D1_32SD_MIPI</f>
        <v>0</v>
      </c>
      <c r="X62" cm="1">
        <f t="array" aca="1" ref="X62" ca="1">GetPin_RA8D1_32SD_MIPI</f>
        <v>0</v>
      </c>
      <c r="Y62" cm="1">
        <f t="array" aca="1" ref="Y62" ca="1">GetPin_RA8D1_32SD_MIPI</f>
        <v>0</v>
      </c>
      <c r="Z62" cm="1">
        <f t="array" aca="1" ref="Z62" ca="1">GetPin_RA8D1_32SD_MIPI</f>
        <v>0</v>
      </c>
      <c r="AA62" cm="1">
        <f t="array" aca="1" ref="AA62" ca="1">GetPin_RA8D1_32SD_MIPI</f>
        <v>0</v>
      </c>
      <c r="AB62" cm="1">
        <f t="array" aca="1" ref="AB62" ca="1">GetPin_RA8D1_32SD_MIPI</f>
        <v>0</v>
      </c>
      <c r="AC62" cm="1">
        <f t="array" aca="1" ref="AC62" ca="1">GetPin_RA8D1_32SD_MIPI</f>
        <v>0</v>
      </c>
      <c r="AD62" cm="1">
        <f t="array" aca="1" ref="AD62" ca="1">GetPin_RA8D1_32SD_MIPI</f>
        <v>0</v>
      </c>
      <c r="AE62" cm="1">
        <f t="array" aca="1" ref="AE62" ca="1">GetPin_RA8D1_32SD_MIPI</f>
        <v>0</v>
      </c>
      <c r="AF62" cm="1">
        <f t="array" aca="1" ref="AF62" ca="1">GetPin_RA8D1_32SD_MIPI</f>
        <v>0</v>
      </c>
      <c r="AG62" cm="1">
        <f t="array" aca="1" ref="AG62" ca="1">GetPin_RA8D1_32SD_MIPI</f>
        <v>0</v>
      </c>
      <c r="AH62" cm="1">
        <f t="array" aca="1" ref="AH62" ca="1">GetPin_RA8D1_32SD_MIPI</f>
        <v>0</v>
      </c>
      <c r="AI62" cm="1">
        <f t="array" aca="1" ref="AI62" ca="1">GetPin_RA8D1_32SD_MIPI</f>
        <v>0</v>
      </c>
      <c r="AJ62" cm="1">
        <f t="array" aca="1" ref="AJ62" ca="1">GetPin_RA8D1_32SD_MIPI</f>
        <v>0</v>
      </c>
      <c r="AK62" cm="1">
        <f t="array" aca="1" ref="AK62" ca="1">GetPin_RA8D1_32SD_MIPI</f>
        <v>0</v>
      </c>
      <c r="AL62" cm="1">
        <f t="array" aca="1" ref="AL62" ca="1">GetPin_RA8D1_32SD_MIPI</f>
        <v>0</v>
      </c>
      <c r="AM62" cm="1">
        <f t="array" aca="1" ref="AM62" ca="1">GetPin_RA8D1_32SD_MIPI</f>
        <v>0</v>
      </c>
      <c r="AN62" cm="1">
        <f t="array" aca="1" ref="AN62" ca="1">GetPin_RA8D1_32SD_MIPI</f>
        <v>0</v>
      </c>
      <c r="AO62" cm="1">
        <f t="array" aca="1" ref="AO62" ca="1">GetPin_RA8D1_32SD_MIPI</f>
        <v>0</v>
      </c>
      <c r="AP62" cm="1">
        <f t="array" aca="1" ref="AP62" ca="1">GetPin_RA8D1_32SD_MIPI</f>
        <v>0</v>
      </c>
      <c r="AQ62" cm="1">
        <f t="array" aca="1" ref="AQ62" ca="1">GetPin_RA8D1_32SD_MIPI</f>
        <v>0</v>
      </c>
      <c r="AR62" cm="1">
        <f t="array" aca="1" ref="AR62" ca="1">GetPin_RA8D1_32SD_MIPI</f>
        <v>0</v>
      </c>
      <c r="AS62" cm="1">
        <f t="array" aca="1" ref="AS62" ca="1">GetPin_RA8D1_32SD_MIPI</f>
        <v>0</v>
      </c>
      <c r="AT62" cm="1">
        <f t="array" aca="1" ref="AT62" ca="1">GetPin_RA8D1_32SD_MIPI</f>
        <v>0</v>
      </c>
      <c r="AU62" cm="1">
        <f t="array" aca="1" ref="AU62" ca="1">GetPin_RA8D1_32SD_MIPI</f>
        <v>0</v>
      </c>
      <c r="AV62" cm="1">
        <f t="array" aca="1" ref="AV62" ca="1">GetPin_RA8D1_32SD_MIPI</f>
        <v>0</v>
      </c>
      <c r="AW62" cm="1">
        <f t="array" aca="1" ref="AW62" ca="1">GetPin_RA8D1_32SD_MIPI</f>
        <v>0</v>
      </c>
      <c r="AX62" cm="1">
        <f t="array" aca="1" ref="AX62" ca="1">GetPin_RA8D1_32SD_MIPI</f>
        <v>0</v>
      </c>
      <c r="AY62" cm="1">
        <f t="array" aca="1" ref="AY62" ca="1">GetPin_RA8D1_32SD_MIPI</f>
        <v>0</v>
      </c>
      <c r="AZ62" cm="1">
        <f t="array" aca="1" ref="AZ62" ca="1">GetPin_RA8D1_32SD_MIPI</f>
        <v>0</v>
      </c>
      <c r="BA62" cm="1">
        <f t="array" aca="1" ref="BA62" ca="1">GetPin_RA8D1_32SD_MIPI</f>
        <v>0</v>
      </c>
      <c r="BB62" cm="1">
        <f t="array" aca="1" ref="BB62" ca="1">GetPin_RA8D1_32SD_MIPI</f>
        <v>0</v>
      </c>
      <c r="BC62" cm="1">
        <f t="array" aca="1" ref="BC62" ca="1">GetPin_RA8D1_32SD_MIPI</f>
        <v>0</v>
      </c>
      <c r="BD62" cm="1">
        <f t="array" aca="1" ref="BD62" ca="1">GetPin_RA8D1_32SD_MIPI</f>
        <v>0</v>
      </c>
      <c r="BG62">
        <v>42</v>
      </c>
    </row>
    <row r="63" spans="17:59" x14ac:dyDescent="0.25">
      <c r="Q63">
        <f>IF(ISBLANK(BoardBTB!Q63),-1,(COUNTIF(U63:BD63,4)*4+IF(COUNTIF(U63:BD63,2),1,0)*2+IF(COUNTIF(U63:BD63,1),1,0)))</f>
        <v>-1</v>
      </c>
      <c r="R63">
        <f>IF(ISBLANK(BoardBTB!R63),-1,(COUNTIF(U63:BD63,4)*4+IF(COUNTIF(U63:BD63,2),1,0)*2+IF(COUNTIF(U63:BD63,1),1,0)))</f>
        <v>-1</v>
      </c>
      <c r="S63">
        <f>IF(ISBLANK(BoardBTB!S63),-1,(COUNTIF(U63:BD63,4)*4+IF(COUNTIF(U63:BD63,2),1,0)*2+IF(COUNTIF(U63:BD63,1),1,0)))</f>
        <v>-1</v>
      </c>
      <c r="T63">
        <f ca="1">IF(ISBLANK(BoardBTB!T63),-1,(COUNTIF(U63:BD63,4)*4+IF(COUNTIF(U63:BD63,2),1,0)*2+IF(COUNTIF(U63:BD63,1),1,0)))</f>
        <v>0</v>
      </c>
      <c r="U63" cm="1">
        <f t="array" aca="1" ref="U63" ca="1">GetPin_RA8D1_32SD_MIPI</f>
        <v>0</v>
      </c>
      <c r="V63" cm="1">
        <f t="array" aca="1" ref="V63" ca="1">GetPin_RA8D1_32SD_MIPI</f>
        <v>0</v>
      </c>
      <c r="W63" cm="1">
        <f t="array" aca="1" ref="W63" ca="1">GetPin_RA8D1_32SD_MIPI</f>
        <v>0</v>
      </c>
      <c r="X63" cm="1">
        <f t="array" aca="1" ref="X63" ca="1">GetPin_RA8D1_32SD_MIPI</f>
        <v>0</v>
      </c>
      <c r="Y63" cm="1">
        <f t="array" aca="1" ref="Y63" ca="1">GetPin_RA8D1_32SD_MIPI</f>
        <v>0</v>
      </c>
      <c r="Z63" cm="1">
        <f t="array" aca="1" ref="Z63" ca="1">GetPin_RA8D1_32SD_MIPI</f>
        <v>0</v>
      </c>
      <c r="AA63" cm="1">
        <f t="array" aca="1" ref="AA63" ca="1">GetPin_RA8D1_32SD_MIPI</f>
        <v>0</v>
      </c>
      <c r="AB63" cm="1">
        <f t="array" aca="1" ref="AB63" ca="1">GetPin_RA8D1_32SD_MIPI</f>
        <v>0</v>
      </c>
      <c r="AC63" cm="1">
        <f t="array" aca="1" ref="AC63" ca="1">GetPin_RA8D1_32SD_MIPI</f>
        <v>0</v>
      </c>
      <c r="AD63" cm="1">
        <f t="array" aca="1" ref="AD63" ca="1">GetPin_RA8D1_32SD_MIPI</f>
        <v>0</v>
      </c>
      <c r="AE63" cm="1">
        <f t="array" aca="1" ref="AE63" ca="1">GetPin_RA8D1_32SD_MIPI</f>
        <v>0</v>
      </c>
      <c r="AF63" cm="1">
        <f t="array" aca="1" ref="AF63" ca="1">GetPin_RA8D1_32SD_MIPI</f>
        <v>0</v>
      </c>
      <c r="AG63" cm="1">
        <f t="array" aca="1" ref="AG63" ca="1">GetPin_RA8D1_32SD_MIPI</f>
        <v>0</v>
      </c>
      <c r="AH63" cm="1">
        <f t="array" aca="1" ref="AH63" ca="1">GetPin_RA8D1_32SD_MIPI</f>
        <v>0</v>
      </c>
      <c r="AI63" cm="1">
        <f t="array" aca="1" ref="AI63" ca="1">GetPin_RA8D1_32SD_MIPI</f>
        <v>0</v>
      </c>
      <c r="AJ63" cm="1">
        <f t="array" aca="1" ref="AJ63" ca="1">GetPin_RA8D1_32SD_MIPI</f>
        <v>0</v>
      </c>
      <c r="AK63" cm="1">
        <f t="array" aca="1" ref="AK63" ca="1">GetPin_RA8D1_32SD_MIPI</f>
        <v>0</v>
      </c>
      <c r="AL63" cm="1">
        <f t="array" aca="1" ref="AL63" ca="1">GetPin_RA8D1_32SD_MIPI</f>
        <v>0</v>
      </c>
      <c r="AM63" cm="1">
        <f t="array" aca="1" ref="AM63" ca="1">GetPin_RA8D1_32SD_MIPI</f>
        <v>0</v>
      </c>
      <c r="AN63" cm="1">
        <f t="array" aca="1" ref="AN63" ca="1">GetPin_RA8D1_32SD_MIPI</f>
        <v>0</v>
      </c>
      <c r="AO63" cm="1">
        <f t="array" aca="1" ref="AO63" ca="1">GetPin_RA8D1_32SD_MIPI</f>
        <v>0</v>
      </c>
      <c r="AP63" cm="1">
        <f t="array" aca="1" ref="AP63" ca="1">GetPin_RA8D1_32SD_MIPI</f>
        <v>0</v>
      </c>
      <c r="AQ63" cm="1">
        <f t="array" aca="1" ref="AQ63" ca="1">GetPin_RA8D1_32SD_MIPI</f>
        <v>0</v>
      </c>
      <c r="AR63" cm="1">
        <f t="array" aca="1" ref="AR63" ca="1">GetPin_RA8D1_32SD_MIPI</f>
        <v>0</v>
      </c>
      <c r="AS63" cm="1">
        <f t="array" aca="1" ref="AS63" ca="1">GetPin_RA8D1_32SD_MIPI</f>
        <v>0</v>
      </c>
      <c r="AT63" cm="1">
        <f t="array" aca="1" ref="AT63" ca="1">GetPin_RA8D1_32SD_MIPI</f>
        <v>0</v>
      </c>
      <c r="AU63" cm="1">
        <f t="array" aca="1" ref="AU63" ca="1">GetPin_RA8D1_32SD_MIPI</f>
        <v>0</v>
      </c>
      <c r="AV63" cm="1">
        <f t="array" aca="1" ref="AV63" ca="1">GetPin_RA8D1_32SD_MIPI</f>
        <v>0</v>
      </c>
      <c r="AW63" cm="1">
        <f t="array" aca="1" ref="AW63" ca="1">GetPin_RA8D1_32SD_MIPI</f>
        <v>0</v>
      </c>
      <c r="AX63" cm="1">
        <f t="array" aca="1" ref="AX63" ca="1">GetPin_RA8D1_32SD_MIPI</f>
        <v>0</v>
      </c>
      <c r="AY63" cm="1">
        <f t="array" aca="1" ref="AY63" ca="1">GetPin_RA8D1_32SD_MIPI</f>
        <v>0</v>
      </c>
      <c r="AZ63" cm="1">
        <f t="array" aca="1" ref="AZ63" ca="1">GetPin_RA8D1_32SD_MIPI</f>
        <v>0</v>
      </c>
      <c r="BA63" cm="1">
        <f t="array" aca="1" ref="BA63" ca="1">GetPin_RA8D1_32SD_MIPI</f>
        <v>0</v>
      </c>
      <c r="BB63" cm="1">
        <f t="array" aca="1" ref="BB63" ca="1">GetPin_RA8D1_32SD_MIPI</f>
        <v>0</v>
      </c>
      <c r="BC63" cm="1">
        <f t="array" aca="1" ref="BC63" ca="1">GetPin_RA8D1_32SD_MIPI</f>
        <v>0</v>
      </c>
      <c r="BD63" cm="1">
        <f t="array" aca="1" ref="BD63" ca="1">GetPin_RA8D1_32SD_MIPI</f>
        <v>0</v>
      </c>
      <c r="BG63">
        <v>43</v>
      </c>
    </row>
    <row r="64" spans="17:59" x14ac:dyDescent="0.25">
      <c r="Q64">
        <f>IF(ISBLANK(BoardBTB!Q64),-1,(COUNTIF(U64:BD64,4)*4+IF(COUNTIF(U64:BD64,2),1,0)*2+IF(COUNTIF(U64:BD64,1),1,0)))</f>
        <v>-1</v>
      </c>
      <c r="R64">
        <f>IF(ISBLANK(BoardBTB!R64),-1,(COUNTIF(U64:BD64,4)*4+IF(COUNTIF(U64:BD64,2),1,0)*2+IF(COUNTIF(U64:BD64,1),1,0)))</f>
        <v>-1</v>
      </c>
      <c r="S64">
        <f>IF(ISBLANK(BoardBTB!S64),-1,(COUNTIF(U64:BD64,4)*4+IF(COUNTIF(U64:BD64,2),1,0)*2+IF(COUNTIF(U64:BD64,1),1,0)))</f>
        <v>-1</v>
      </c>
      <c r="T64">
        <f ca="1">IF(ISBLANK(BoardBTB!T64),-1,(COUNTIF(U64:BD64,4)*4+IF(COUNTIF(U64:BD64,2),1,0)*2+IF(COUNTIF(U64:BD64,1),1,0)))</f>
        <v>4</v>
      </c>
      <c r="U64" cm="1">
        <f t="array" aca="1" ref="U64" ca="1">GetPin_RA8D1_32SD_MIPI</f>
        <v>0</v>
      </c>
      <c r="V64" cm="1">
        <f t="array" aca="1" ref="V64" ca="1">GetPin_RA8D1_32SD_MIPI</f>
        <v>0</v>
      </c>
      <c r="W64" cm="1">
        <f t="array" aca="1" ref="W64" ca="1">GetPin_RA8D1_32SD_MIPI</f>
        <v>0</v>
      </c>
      <c r="X64" cm="1">
        <f t="array" aca="1" ref="X64" ca="1">GetPin_RA8D1_32SD_MIPI</f>
        <v>0</v>
      </c>
      <c r="Y64" cm="1">
        <f t="array" aca="1" ref="Y64" ca="1">GetPin_RA8D1_32SD_MIPI</f>
        <v>0</v>
      </c>
      <c r="Z64" cm="1">
        <f t="array" aca="1" ref="Z64" ca="1">GetPin_RA8D1_32SD_MIPI</f>
        <v>0</v>
      </c>
      <c r="AA64" cm="1">
        <f t="array" aca="1" ref="AA64" ca="1">GetPin_RA8D1_32SD_MIPI</f>
        <v>0</v>
      </c>
      <c r="AB64" cm="1">
        <f t="array" aca="1" ref="AB64" ca="1">GetPin_RA8D1_32SD_MIPI</f>
        <v>0</v>
      </c>
      <c r="AC64" cm="1">
        <f t="array" aca="1" ref="AC64" ca="1">GetPin_RA8D1_32SD_MIPI</f>
        <v>0</v>
      </c>
      <c r="AD64" cm="1">
        <f t="array" aca="1" ref="AD64" ca="1">GetPin_RA8D1_32SD_MIPI</f>
        <v>4</v>
      </c>
      <c r="AE64" cm="1">
        <f t="array" aca="1" ref="AE64" ca="1">GetPin_RA8D1_32SD_MIPI</f>
        <v>0</v>
      </c>
      <c r="AF64" cm="1">
        <f t="array" aca="1" ref="AF64" ca="1">GetPin_RA8D1_32SD_MIPI</f>
        <v>0</v>
      </c>
      <c r="AG64" cm="1">
        <f t="array" aca="1" ref="AG64" ca="1">GetPin_RA8D1_32SD_MIPI</f>
        <v>0</v>
      </c>
      <c r="AH64" cm="1">
        <f t="array" aca="1" ref="AH64" ca="1">GetPin_RA8D1_32SD_MIPI</f>
        <v>0</v>
      </c>
      <c r="AI64" cm="1">
        <f t="array" aca="1" ref="AI64" ca="1">GetPin_RA8D1_32SD_MIPI</f>
        <v>0</v>
      </c>
      <c r="AJ64" cm="1">
        <f t="array" aca="1" ref="AJ64" ca="1">GetPin_RA8D1_32SD_MIPI</f>
        <v>0</v>
      </c>
      <c r="AK64" cm="1">
        <f t="array" aca="1" ref="AK64" ca="1">GetPin_RA8D1_32SD_MIPI</f>
        <v>0</v>
      </c>
      <c r="AL64" cm="1">
        <f t="array" aca="1" ref="AL64" ca="1">GetPin_RA8D1_32SD_MIPI</f>
        <v>0</v>
      </c>
      <c r="AM64" cm="1">
        <f t="array" aca="1" ref="AM64" ca="1">GetPin_RA8D1_32SD_MIPI</f>
        <v>0</v>
      </c>
      <c r="AN64" cm="1">
        <f t="array" aca="1" ref="AN64" ca="1">GetPin_RA8D1_32SD_MIPI</f>
        <v>0</v>
      </c>
      <c r="AO64" cm="1">
        <f t="array" aca="1" ref="AO64" ca="1">GetPin_RA8D1_32SD_MIPI</f>
        <v>0</v>
      </c>
      <c r="AP64" cm="1">
        <f t="array" aca="1" ref="AP64" ca="1">GetPin_RA8D1_32SD_MIPI</f>
        <v>0</v>
      </c>
      <c r="AQ64" cm="1">
        <f t="array" aca="1" ref="AQ64" ca="1">GetPin_RA8D1_32SD_MIPI</f>
        <v>0</v>
      </c>
      <c r="AR64" cm="1">
        <f t="array" aca="1" ref="AR64" ca="1">GetPin_RA8D1_32SD_MIPI</f>
        <v>0</v>
      </c>
      <c r="AS64" cm="1">
        <f t="array" aca="1" ref="AS64" ca="1">GetPin_RA8D1_32SD_MIPI</f>
        <v>0</v>
      </c>
      <c r="AT64" cm="1">
        <f t="array" aca="1" ref="AT64" ca="1">GetPin_RA8D1_32SD_MIPI</f>
        <v>0</v>
      </c>
      <c r="AU64" cm="1">
        <f t="array" aca="1" ref="AU64" ca="1">GetPin_RA8D1_32SD_MIPI</f>
        <v>0</v>
      </c>
      <c r="AV64" cm="1">
        <f t="array" aca="1" ref="AV64" ca="1">GetPin_RA8D1_32SD_MIPI</f>
        <v>0</v>
      </c>
      <c r="AW64" cm="1">
        <f t="array" aca="1" ref="AW64" ca="1">GetPin_RA8D1_32SD_MIPI</f>
        <v>0</v>
      </c>
      <c r="AX64" cm="1">
        <f t="array" aca="1" ref="AX64" ca="1">GetPin_RA8D1_32SD_MIPI</f>
        <v>0</v>
      </c>
      <c r="AY64" cm="1">
        <f t="array" aca="1" ref="AY64" ca="1">GetPin_RA8D1_32SD_MIPI</f>
        <v>0</v>
      </c>
      <c r="AZ64" cm="1">
        <f t="array" aca="1" ref="AZ64" ca="1">GetPin_RA8D1_32SD_MIPI</f>
        <v>0</v>
      </c>
      <c r="BA64" cm="1">
        <f t="array" aca="1" ref="BA64" ca="1">GetPin_RA8D1_32SD_MIPI</f>
        <v>0</v>
      </c>
      <c r="BB64" cm="1">
        <f t="array" aca="1" ref="BB64" ca="1">GetPin_RA8D1_32SD_MIPI</f>
        <v>0</v>
      </c>
      <c r="BC64" cm="1">
        <f t="array" aca="1" ref="BC64" ca="1">GetPin_RA8D1_32SD_MIPI</f>
        <v>0</v>
      </c>
      <c r="BD64" cm="1">
        <f t="array" aca="1" ref="BD64" ca="1">GetPin_RA8D1_32SD_MIPI</f>
        <v>0</v>
      </c>
      <c r="BG64">
        <v>44</v>
      </c>
    </row>
    <row r="65" spans="17:59" x14ac:dyDescent="0.25">
      <c r="Q65">
        <f>IF(ISBLANK(BoardBTB!Q65),-1,(COUNTIF(U65:BD65,4)*4+IF(COUNTIF(U65:BD65,2),1,0)*2+IF(COUNTIF(U65:BD65,1),1,0)))</f>
        <v>-1</v>
      </c>
      <c r="R65">
        <f>IF(ISBLANK(BoardBTB!R65),-1,(COUNTIF(U65:BD65,4)*4+IF(COUNTIF(U65:BD65,2),1,0)*2+IF(COUNTIF(U65:BD65,1),1,0)))</f>
        <v>-1</v>
      </c>
      <c r="S65">
        <f>IF(ISBLANK(BoardBTB!S65),-1,(COUNTIF(U65:BD65,4)*4+IF(COUNTIF(U65:BD65,2),1,0)*2+IF(COUNTIF(U65:BD65,1),1,0)))</f>
        <v>-1</v>
      </c>
      <c r="T65">
        <f ca="1">IF(ISBLANK(BoardBTB!T65),-1,(COUNTIF(U65:BD65,4)*4+IF(COUNTIF(U65:BD65,2),1,0)*2+IF(COUNTIF(U65:BD65,1),1,0)))</f>
        <v>4</v>
      </c>
      <c r="U65" cm="1">
        <f t="array" aca="1" ref="U65" ca="1">GetPin_RA8D1_32SD_MIPI</f>
        <v>0</v>
      </c>
      <c r="V65" cm="1">
        <f t="array" aca="1" ref="V65" ca="1">GetPin_RA8D1_32SD_MIPI</f>
        <v>0</v>
      </c>
      <c r="W65" cm="1">
        <f t="array" aca="1" ref="W65" ca="1">GetPin_RA8D1_32SD_MIPI</f>
        <v>0</v>
      </c>
      <c r="X65" cm="1">
        <f t="array" aca="1" ref="X65" ca="1">GetPin_RA8D1_32SD_MIPI</f>
        <v>0</v>
      </c>
      <c r="Y65" cm="1">
        <f t="array" aca="1" ref="Y65" ca="1">GetPin_RA8D1_32SD_MIPI</f>
        <v>0</v>
      </c>
      <c r="Z65" cm="1">
        <f t="array" aca="1" ref="Z65" ca="1">GetPin_RA8D1_32SD_MIPI</f>
        <v>0</v>
      </c>
      <c r="AA65" cm="1">
        <f t="array" aca="1" ref="AA65" ca="1">GetPin_RA8D1_32SD_MIPI</f>
        <v>0</v>
      </c>
      <c r="AB65" cm="1">
        <f t="array" aca="1" ref="AB65" ca="1">GetPin_RA8D1_32SD_MIPI</f>
        <v>0</v>
      </c>
      <c r="AC65" cm="1">
        <f t="array" aca="1" ref="AC65" ca="1">GetPin_RA8D1_32SD_MIPI</f>
        <v>0</v>
      </c>
      <c r="AD65" cm="1">
        <f t="array" aca="1" ref="AD65" ca="1">GetPin_RA8D1_32SD_MIPI</f>
        <v>4</v>
      </c>
      <c r="AE65" cm="1">
        <f t="array" aca="1" ref="AE65" ca="1">GetPin_RA8D1_32SD_MIPI</f>
        <v>0</v>
      </c>
      <c r="AF65" cm="1">
        <f t="array" aca="1" ref="AF65" ca="1">GetPin_RA8D1_32SD_MIPI</f>
        <v>0</v>
      </c>
      <c r="AG65" cm="1">
        <f t="array" aca="1" ref="AG65" ca="1">GetPin_RA8D1_32SD_MIPI</f>
        <v>0</v>
      </c>
      <c r="AH65" cm="1">
        <f t="array" aca="1" ref="AH65" ca="1">GetPin_RA8D1_32SD_MIPI</f>
        <v>0</v>
      </c>
      <c r="AI65" cm="1">
        <f t="array" aca="1" ref="AI65" ca="1">GetPin_RA8D1_32SD_MIPI</f>
        <v>0</v>
      </c>
      <c r="AJ65" cm="1">
        <f t="array" aca="1" ref="AJ65" ca="1">GetPin_RA8D1_32SD_MIPI</f>
        <v>0</v>
      </c>
      <c r="AK65" cm="1">
        <f t="array" aca="1" ref="AK65" ca="1">GetPin_RA8D1_32SD_MIPI</f>
        <v>0</v>
      </c>
      <c r="AL65" cm="1">
        <f t="array" aca="1" ref="AL65" ca="1">GetPin_RA8D1_32SD_MIPI</f>
        <v>0</v>
      </c>
      <c r="AM65" cm="1">
        <f t="array" aca="1" ref="AM65" ca="1">GetPin_RA8D1_32SD_MIPI</f>
        <v>0</v>
      </c>
      <c r="AN65" cm="1">
        <f t="array" aca="1" ref="AN65" ca="1">GetPin_RA8D1_32SD_MIPI</f>
        <v>0</v>
      </c>
      <c r="AO65" cm="1">
        <f t="array" aca="1" ref="AO65" ca="1">GetPin_RA8D1_32SD_MIPI</f>
        <v>0</v>
      </c>
      <c r="AP65" cm="1">
        <f t="array" aca="1" ref="AP65" ca="1">GetPin_RA8D1_32SD_MIPI</f>
        <v>0</v>
      </c>
      <c r="AQ65" cm="1">
        <f t="array" aca="1" ref="AQ65" ca="1">GetPin_RA8D1_32SD_MIPI</f>
        <v>0</v>
      </c>
      <c r="AR65" cm="1">
        <f t="array" aca="1" ref="AR65" ca="1">GetPin_RA8D1_32SD_MIPI</f>
        <v>0</v>
      </c>
      <c r="AS65" cm="1">
        <f t="array" aca="1" ref="AS65" ca="1">GetPin_RA8D1_32SD_MIPI</f>
        <v>0</v>
      </c>
      <c r="AT65" cm="1">
        <f t="array" aca="1" ref="AT65" ca="1">GetPin_RA8D1_32SD_MIPI</f>
        <v>0</v>
      </c>
      <c r="AU65" cm="1">
        <f t="array" aca="1" ref="AU65" ca="1">GetPin_RA8D1_32SD_MIPI</f>
        <v>0</v>
      </c>
      <c r="AV65" cm="1">
        <f t="array" aca="1" ref="AV65" ca="1">GetPin_RA8D1_32SD_MIPI</f>
        <v>0</v>
      </c>
      <c r="AW65" cm="1">
        <f t="array" aca="1" ref="AW65" ca="1">GetPin_RA8D1_32SD_MIPI</f>
        <v>0</v>
      </c>
      <c r="AX65" cm="1">
        <f t="array" aca="1" ref="AX65" ca="1">GetPin_RA8D1_32SD_MIPI</f>
        <v>0</v>
      </c>
      <c r="AY65" cm="1">
        <f t="array" aca="1" ref="AY65" ca="1">GetPin_RA8D1_32SD_MIPI</f>
        <v>0</v>
      </c>
      <c r="AZ65" cm="1">
        <f t="array" aca="1" ref="AZ65" ca="1">GetPin_RA8D1_32SD_MIPI</f>
        <v>0</v>
      </c>
      <c r="BA65" cm="1">
        <f t="array" aca="1" ref="BA65" ca="1">GetPin_RA8D1_32SD_MIPI</f>
        <v>0</v>
      </c>
      <c r="BB65" cm="1">
        <f t="array" aca="1" ref="BB65" ca="1">GetPin_RA8D1_32SD_MIPI</f>
        <v>0</v>
      </c>
      <c r="BC65" cm="1">
        <f t="array" aca="1" ref="BC65" ca="1">GetPin_RA8D1_32SD_MIPI</f>
        <v>0</v>
      </c>
      <c r="BD65" cm="1">
        <f t="array" aca="1" ref="BD65" ca="1">GetPin_RA8D1_32SD_MIPI</f>
        <v>0</v>
      </c>
      <c r="BG65">
        <v>45</v>
      </c>
    </row>
    <row r="66" spans="17:59" x14ac:dyDescent="0.25">
      <c r="Q66">
        <f>IF(ISBLANK(BoardBTB!Q66),-1,(COUNTIF(U66:BD66,4)*4+IF(COUNTIF(U66:BD66,2),1,0)*2+IF(COUNTIF(U66:BD66,1),1,0)))</f>
        <v>-1</v>
      </c>
      <c r="R66">
        <f>IF(ISBLANK(BoardBTB!R66),-1,(COUNTIF(U66:BD66,4)*4+IF(COUNTIF(U66:BD66,2),1,0)*2+IF(COUNTIF(U66:BD66,1),1,0)))</f>
        <v>-1</v>
      </c>
      <c r="S66">
        <f>IF(ISBLANK(BoardBTB!S66),-1,(COUNTIF(U66:BD66,4)*4+IF(COUNTIF(U66:BD66,2),1,0)*2+IF(COUNTIF(U66:BD66,1),1,0)))</f>
        <v>-1</v>
      </c>
      <c r="T66">
        <f ca="1">IF(ISBLANK(BoardBTB!T66),-1,(COUNTIF(U66:BD66,4)*4+IF(COUNTIF(U66:BD66,2),1,0)*2+IF(COUNTIF(U66:BD66,1),1,0)))</f>
        <v>4</v>
      </c>
      <c r="U66" cm="1">
        <f t="array" aca="1" ref="U66" ca="1">GetPin_RA8D1_32SD_MIPI</f>
        <v>0</v>
      </c>
      <c r="V66" cm="1">
        <f t="array" aca="1" ref="V66" ca="1">GetPin_RA8D1_32SD_MIPI</f>
        <v>0</v>
      </c>
      <c r="W66" cm="1">
        <f t="array" aca="1" ref="W66" ca="1">GetPin_RA8D1_32SD_MIPI</f>
        <v>0</v>
      </c>
      <c r="X66" cm="1">
        <f t="array" aca="1" ref="X66" ca="1">GetPin_RA8D1_32SD_MIPI</f>
        <v>0</v>
      </c>
      <c r="Y66" cm="1">
        <f t="array" aca="1" ref="Y66" ca="1">GetPin_RA8D1_32SD_MIPI</f>
        <v>0</v>
      </c>
      <c r="Z66" cm="1">
        <f t="array" aca="1" ref="Z66" ca="1">GetPin_RA8D1_32SD_MIPI</f>
        <v>0</v>
      </c>
      <c r="AA66" cm="1">
        <f t="array" aca="1" ref="AA66" ca="1">GetPin_RA8D1_32SD_MIPI</f>
        <v>0</v>
      </c>
      <c r="AB66" cm="1">
        <f t="array" aca="1" ref="AB66" ca="1">GetPin_RA8D1_32SD_MIPI</f>
        <v>0</v>
      </c>
      <c r="AC66" cm="1">
        <f t="array" aca="1" ref="AC66" ca="1">GetPin_RA8D1_32SD_MIPI</f>
        <v>0</v>
      </c>
      <c r="AD66" cm="1">
        <f t="array" aca="1" ref="AD66" ca="1">GetPin_RA8D1_32SD_MIPI</f>
        <v>4</v>
      </c>
      <c r="AE66" cm="1">
        <f t="array" aca="1" ref="AE66" ca="1">GetPin_RA8D1_32SD_MIPI</f>
        <v>0</v>
      </c>
      <c r="AF66" cm="1">
        <f t="array" aca="1" ref="AF66" ca="1">GetPin_RA8D1_32SD_MIPI</f>
        <v>0</v>
      </c>
      <c r="AG66" cm="1">
        <f t="array" aca="1" ref="AG66" ca="1">GetPin_RA8D1_32SD_MIPI</f>
        <v>0</v>
      </c>
      <c r="AH66" cm="1">
        <f t="array" aca="1" ref="AH66" ca="1">GetPin_RA8D1_32SD_MIPI</f>
        <v>0</v>
      </c>
      <c r="AI66" cm="1">
        <f t="array" aca="1" ref="AI66" ca="1">GetPin_RA8D1_32SD_MIPI</f>
        <v>0</v>
      </c>
      <c r="AJ66" cm="1">
        <f t="array" aca="1" ref="AJ66" ca="1">GetPin_RA8D1_32SD_MIPI</f>
        <v>0</v>
      </c>
      <c r="AK66" cm="1">
        <f t="array" aca="1" ref="AK66" ca="1">GetPin_RA8D1_32SD_MIPI</f>
        <v>0</v>
      </c>
      <c r="AL66" cm="1">
        <f t="array" aca="1" ref="AL66" ca="1">GetPin_RA8D1_32SD_MIPI</f>
        <v>0</v>
      </c>
      <c r="AM66" cm="1">
        <f t="array" aca="1" ref="AM66" ca="1">GetPin_RA8D1_32SD_MIPI</f>
        <v>0</v>
      </c>
      <c r="AN66" cm="1">
        <f t="array" aca="1" ref="AN66" ca="1">GetPin_RA8D1_32SD_MIPI</f>
        <v>0</v>
      </c>
      <c r="AO66" cm="1">
        <f t="array" aca="1" ref="AO66" ca="1">GetPin_RA8D1_32SD_MIPI</f>
        <v>0</v>
      </c>
      <c r="AP66" cm="1">
        <f t="array" aca="1" ref="AP66" ca="1">GetPin_RA8D1_32SD_MIPI</f>
        <v>0</v>
      </c>
      <c r="AQ66" cm="1">
        <f t="array" aca="1" ref="AQ66" ca="1">GetPin_RA8D1_32SD_MIPI</f>
        <v>0</v>
      </c>
      <c r="AR66" cm="1">
        <f t="array" aca="1" ref="AR66" ca="1">GetPin_RA8D1_32SD_MIPI</f>
        <v>0</v>
      </c>
      <c r="AS66" cm="1">
        <f t="array" aca="1" ref="AS66" ca="1">GetPin_RA8D1_32SD_MIPI</f>
        <v>0</v>
      </c>
      <c r="AT66" cm="1">
        <f t="array" aca="1" ref="AT66" ca="1">GetPin_RA8D1_32SD_MIPI</f>
        <v>0</v>
      </c>
      <c r="AU66" cm="1">
        <f t="array" aca="1" ref="AU66" ca="1">GetPin_RA8D1_32SD_MIPI</f>
        <v>0</v>
      </c>
      <c r="AV66" cm="1">
        <f t="array" aca="1" ref="AV66" ca="1">GetPin_RA8D1_32SD_MIPI</f>
        <v>0</v>
      </c>
      <c r="AW66" cm="1">
        <f t="array" aca="1" ref="AW66" ca="1">GetPin_RA8D1_32SD_MIPI</f>
        <v>0</v>
      </c>
      <c r="AX66" cm="1">
        <f t="array" aca="1" ref="AX66" ca="1">GetPin_RA8D1_32SD_MIPI</f>
        <v>0</v>
      </c>
      <c r="AY66" cm="1">
        <f t="array" aca="1" ref="AY66" ca="1">GetPin_RA8D1_32SD_MIPI</f>
        <v>0</v>
      </c>
      <c r="AZ66" cm="1">
        <f t="array" aca="1" ref="AZ66" ca="1">GetPin_RA8D1_32SD_MIPI</f>
        <v>0</v>
      </c>
      <c r="BA66" cm="1">
        <f t="array" aca="1" ref="BA66" ca="1">GetPin_RA8D1_32SD_MIPI</f>
        <v>0</v>
      </c>
      <c r="BB66" cm="1">
        <f t="array" aca="1" ref="BB66" ca="1">GetPin_RA8D1_32SD_MIPI</f>
        <v>0</v>
      </c>
      <c r="BC66" cm="1">
        <f t="array" aca="1" ref="BC66" ca="1">GetPin_RA8D1_32SD_MIPI</f>
        <v>0</v>
      </c>
      <c r="BD66" cm="1">
        <f t="array" aca="1" ref="BD66" ca="1">GetPin_RA8D1_32SD_MIPI</f>
        <v>0</v>
      </c>
      <c r="BG66">
        <v>46</v>
      </c>
    </row>
    <row r="67" spans="17:59" x14ac:dyDescent="0.25">
      <c r="Q67">
        <f>IF(ISBLANK(BoardBTB!Q67),-1,(COUNTIF(U67:BD67,4)*4+IF(COUNTIF(U67:BD67,2),1,0)*2+IF(COUNTIF(U67:BD67,1),1,0)))</f>
        <v>-1</v>
      </c>
      <c r="R67">
        <f>IF(ISBLANK(BoardBTB!R67),-1,(COUNTIF(U67:BD67,4)*4+IF(COUNTIF(U67:BD67,2),1,0)*2+IF(COUNTIF(U67:BD67,1),1,0)))</f>
        <v>-1</v>
      </c>
      <c r="S67">
        <f>IF(ISBLANK(BoardBTB!S67),-1,(COUNTIF(U67:BD67,4)*4+IF(COUNTIF(U67:BD67,2),1,0)*2+IF(COUNTIF(U67:BD67,1),1,0)))</f>
        <v>-1</v>
      </c>
      <c r="T67">
        <f ca="1">IF(ISBLANK(BoardBTB!T67),-1,(COUNTIF(U67:BD67,4)*4+IF(COUNTIF(U67:BD67,2),1,0)*2+IF(COUNTIF(U67:BD67,1),1,0)))</f>
        <v>4</v>
      </c>
      <c r="U67" cm="1">
        <f t="array" aca="1" ref="U67" ca="1">GetPin_RA8D1_32SD_MIPI</f>
        <v>0</v>
      </c>
      <c r="V67" cm="1">
        <f t="array" aca="1" ref="V67" ca="1">GetPin_RA8D1_32SD_MIPI</f>
        <v>0</v>
      </c>
      <c r="W67" cm="1">
        <f t="array" aca="1" ref="W67" ca="1">GetPin_RA8D1_32SD_MIPI</f>
        <v>0</v>
      </c>
      <c r="X67" cm="1">
        <f t="array" aca="1" ref="X67" ca="1">GetPin_RA8D1_32SD_MIPI</f>
        <v>0</v>
      </c>
      <c r="Y67" cm="1">
        <f t="array" aca="1" ref="Y67" ca="1">GetPin_RA8D1_32SD_MIPI</f>
        <v>0</v>
      </c>
      <c r="Z67" cm="1">
        <f t="array" aca="1" ref="Z67" ca="1">GetPin_RA8D1_32SD_MIPI</f>
        <v>0</v>
      </c>
      <c r="AA67" cm="1">
        <f t="array" aca="1" ref="AA67" ca="1">GetPin_RA8D1_32SD_MIPI</f>
        <v>0</v>
      </c>
      <c r="AB67" cm="1">
        <f t="array" aca="1" ref="AB67" ca="1">GetPin_RA8D1_32SD_MIPI</f>
        <v>0</v>
      </c>
      <c r="AC67" cm="1">
        <f t="array" aca="1" ref="AC67" ca="1">GetPin_RA8D1_32SD_MIPI</f>
        <v>0</v>
      </c>
      <c r="AD67" cm="1">
        <f t="array" aca="1" ref="AD67" ca="1">GetPin_RA8D1_32SD_MIPI</f>
        <v>4</v>
      </c>
      <c r="AE67" cm="1">
        <f t="array" aca="1" ref="AE67" ca="1">GetPin_RA8D1_32SD_MIPI</f>
        <v>0</v>
      </c>
      <c r="AF67" cm="1">
        <f t="array" aca="1" ref="AF67" ca="1">GetPin_RA8D1_32SD_MIPI</f>
        <v>0</v>
      </c>
      <c r="AG67" cm="1">
        <f t="array" aca="1" ref="AG67" ca="1">GetPin_RA8D1_32SD_MIPI</f>
        <v>0</v>
      </c>
      <c r="AH67" cm="1">
        <f t="array" aca="1" ref="AH67" ca="1">GetPin_RA8D1_32SD_MIPI</f>
        <v>0</v>
      </c>
      <c r="AI67" cm="1">
        <f t="array" aca="1" ref="AI67" ca="1">GetPin_RA8D1_32SD_MIPI</f>
        <v>0</v>
      </c>
      <c r="AJ67" cm="1">
        <f t="array" aca="1" ref="AJ67" ca="1">GetPin_RA8D1_32SD_MIPI</f>
        <v>0</v>
      </c>
      <c r="AK67" cm="1">
        <f t="array" aca="1" ref="AK67" ca="1">GetPin_RA8D1_32SD_MIPI</f>
        <v>0</v>
      </c>
      <c r="AL67" cm="1">
        <f t="array" aca="1" ref="AL67" ca="1">GetPin_RA8D1_32SD_MIPI</f>
        <v>0</v>
      </c>
      <c r="AM67" cm="1">
        <f t="array" aca="1" ref="AM67" ca="1">GetPin_RA8D1_32SD_MIPI</f>
        <v>0</v>
      </c>
      <c r="AN67" cm="1">
        <f t="array" aca="1" ref="AN67" ca="1">GetPin_RA8D1_32SD_MIPI</f>
        <v>0</v>
      </c>
      <c r="AO67" cm="1">
        <f t="array" aca="1" ref="AO67" ca="1">GetPin_RA8D1_32SD_MIPI</f>
        <v>0</v>
      </c>
      <c r="AP67" cm="1">
        <f t="array" aca="1" ref="AP67" ca="1">GetPin_RA8D1_32SD_MIPI</f>
        <v>0</v>
      </c>
      <c r="AQ67" cm="1">
        <f t="array" aca="1" ref="AQ67" ca="1">GetPin_RA8D1_32SD_MIPI</f>
        <v>0</v>
      </c>
      <c r="AR67" cm="1">
        <f t="array" aca="1" ref="AR67" ca="1">GetPin_RA8D1_32SD_MIPI</f>
        <v>0</v>
      </c>
      <c r="AS67" cm="1">
        <f t="array" aca="1" ref="AS67" ca="1">GetPin_RA8D1_32SD_MIPI</f>
        <v>0</v>
      </c>
      <c r="AT67" cm="1">
        <f t="array" aca="1" ref="AT67" ca="1">GetPin_RA8D1_32SD_MIPI</f>
        <v>0</v>
      </c>
      <c r="AU67" cm="1">
        <f t="array" aca="1" ref="AU67" ca="1">GetPin_RA8D1_32SD_MIPI</f>
        <v>0</v>
      </c>
      <c r="AV67" cm="1">
        <f t="array" aca="1" ref="AV67" ca="1">GetPin_RA8D1_32SD_MIPI</f>
        <v>0</v>
      </c>
      <c r="AW67" cm="1">
        <f t="array" aca="1" ref="AW67" ca="1">GetPin_RA8D1_32SD_MIPI</f>
        <v>0</v>
      </c>
      <c r="AX67" cm="1">
        <f t="array" aca="1" ref="AX67" ca="1">GetPin_RA8D1_32SD_MIPI</f>
        <v>0</v>
      </c>
      <c r="AY67" cm="1">
        <f t="array" aca="1" ref="AY67" ca="1">GetPin_RA8D1_32SD_MIPI</f>
        <v>0</v>
      </c>
      <c r="AZ67" cm="1">
        <f t="array" aca="1" ref="AZ67" ca="1">GetPin_RA8D1_32SD_MIPI</f>
        <v>0</v>
      </c>
      <c r="BA67" cm="1">
        <f t="array" aca="1" ref="BA67" ca="1">GetPin_RA8D1_32SD_MIPI</f>
        <v>0</v>
      </c>
      <c r="BB67" cm="1">
        <f t="array" aca="1" ref="BB67" ca="1">GetPin_RA8D1_32SD_MIPI</f>
        <v>0</v>
      </c>
      <c r="BC67" cm="1">
        <f t="array" aca="1" ref="BC67" ca="1">GetPin_RA8D1_32SD_MIPI</f>
        <v>0</v>
      </c>
      <c r="BD67" cm="1">
        <f t="array" aca="1" ref="BD67" ca="1">GetPin_RA8D1_32SD_MIPI</f>
        <v>0</v>
      </c>
      <c r="BG67">
        <v>47</v>
      </c>
    </row>
    <row r="68" spans="17:59" x14ac:dyDescent="0.25">
      <c r="Q68">
        <f>IF(ISBLANK(BoardBTB!Q68),-1,(COUNTIF(U68:BD68,4)*4+IF(COUNTIF(U68:BD68,2),1,0)*2+IF(COUNTIF(U68:BD68,1),1,0)))</f>
        <v>-1</v>
      </c>
      <c r="R68">
        <f>IF(ISBLANK(BoardBTB!R68),-1,(COUNTIF(U68:BD68,4)*4+IF(COUNTIF(U68:BD68,2),1,0)*2+IF(COUNTIF(U68:BD68,1),1,0)))</f>
        <v>-1</v>
      </c>
      <c r="S68">
        <f>IF(ISBLANK(BoardBTB!S68),-1,(COUNTIF(U68:BD68,4)*4+IF(COUNTIF(U68:BD68,2),1,0)*2+IF(COUNTIF(U68:BD68,1),1,0)))</f>
        <v>-1</v>
      </c>
      <c r="T68">
        <f ca="1">IF(ISBLANK(BoardBTB!T68),-1,(COUNTIF(U68:BD68,4)*4+IF(COUNTIF(U68:BD68,2),1,0)*2+IF(COUNTIF(U68:BD68,1),1,0)))</f>
        <v>4</v>
      </c>
      <c r="U68" cm="1">
        <f t="array" aca="1" ref="U68" ca="1">GetPin_RA8D1_32SD_MIPI</f>
        <v>0</v>
      </c>
      <c r="V68" cm="1">
        <f t="array" aca="1" ref="V68" ca="1">GetPin_RA8D1_32SD_MIPI</f>
        <v>0</v>
      </c>
      <c r="W68" cm="1">
        <f t="array" aca="1" ref="W68" ca="1">GetPin_RA8D1_32SD_MIPI</f>
        <v>0</v>
      </c>
      <c r="X68" cm="1">
        <f t="array" aca="1" ref="X68" ca="1">GetPin_RA8D1_32SD_MIPI</f>
        <v>0</v>
      </c>
      <c r="Y68" cm="1">
        <f t="array" aca="1" ref="Y68" ca="1">GetPin_RA8D1_32SD_MIPI</f>
        <v>0</v>
      </c>
      <c r="Z68" cm="1">
        <f t="array" aca="1" ref="Z68" ca="1">GetPin_RA8D1_32SD_MIPI</f>
        <v>0</v>
      </c>
      <c r="AA68" cm="1">
        <f t="array" aca="1" ref="AA68" ca="1">GetPin_RA8D1_32SD_MIPI</f>
        <v>0</v>
      </c>
      <c r="AB68" cm="1">
        <f t="array" aca="1" ref="AB68" ca="1">GetPin_RA8D1_32SD_MIPI</f>
        <v>0</v>
      </c>
      <c r="AC68" cm="1">
        <f t="array" aca="1" ref="AC68" ca="1">GetPin_RA8D1_32SD_MIPI</f>
        <v>0</v>
      </c>
      <c r="AD68" cm="1">
        <f t="array" aca="1" ref="AD68" ca="1">GetPin_RA8D1_32SD_MIPI</f>
        <v>4</v>
      </c>
      <c r="AE68" cm="1">
        <f t="array" aca="1" ref="AE68" ca="1">GetPin_RA8D1_32SD_MIPI</f>
        <v>0</v>
      </c>
      <c r="AF68" cm="1">
        <f t="array" aca="1" ref="AF68" ca="1">GetPin_RA8D1_32SD_MIPI</f>
        <v>0</v>
      </c>
      <c r="AG68" cm="1">
        <f t="array" aca="1" ref="AG68" ca="1">GetPin_RA8D1_32SD_MIPI</f>
        <v>0</v>
      </c>
      <c r="AH68" cm="1">
        <f t="array" aca="1" ref="AH68" ca="1">GetPin_RA8D1_32SD_MIPI</f>
        <v>0</v>
      </c>
      <c r="AI68" cm="1">
        <f t="array" aca="1" ref="AI68" ca="1">GetPin_RA8D1_32SD_MIPI</f>
        <v>0</v>
      </c>
      <c r="AJ68" cm="1">
        <f t="array" aca="1" ref="AJ68" ca="1">GetPin_RA8D1_32SD_MIPI</f>
        <v>0</v>
      </c>
      <c r="AK68" cm="1">
        <f t="array" aca="1" ref="AK68" ca="1">GetPin_RA8D1_32SD_MIPI</f>
        <v>0</v>
      </c>
      <c r="AL68" cm="1">
        <f t="array" aca="1" ref="AL68" ca="1">GetPin_RA8D1_32SD_MIPI</f>
        <v>0</v>
      </c>
      <c r="AM68" cm="1">
        <f t="array" aca="1" ref="AM68" ca="1">GetPin_RA8D1_32SD_MIPI</f>
        <v>0</v>
      </c>
      <c r="AN68" cm="1">
        <f t="array" aca="1" ref="AN68" ca="1">GetPin_RA8D1_32SD_MIPI</f>
        <v>0</v>
      </c>
      <c r="AO68" cm="1">
        <f t="array" aca="1" ref="AO68" ca="1">GetPin_RA8D1_32SD_MIPI</f>
        <v>0</v>
      </c>
      <c r="AP68" cm="1">
        <f t="array" aca="1" ref="AP68" ca="1">GetPin_RA8D1_32SD_MIPI</f>
        <v>0</v>
      </c>
      <c r="AQ68" cm="1">
        <f t="array" aca="1" ref="AQ68" ca="1">GetPin_RA8D1_32SD_MIPI</f>
        <v>0</v>
      </c>
      <c r="AR68" cm="1">
        <f t="array" aca="1" ref="AR68" ca="1">GetPin_RA8D1_32SD_MIPI</f>
        <v>0</v>
      </c>
      <c r="AS68" cm="1">
        <f t="array" aca="1" ref="AS68" ca="1">GetPin_RA8D1_32SD_MIPI</f>
        <v>0</v>
      </c>
      <c r="AT68" cm="1">
        <f t="array" aca="1" ref="AT68" ca="1">GetPin_RA8D1_32SD_MIPI</f>
        <v>0</v>
      </c>
      <c r="AU68" cm="1">
        <f t="array" aca="1" ref="AU68" ca="1">GetPin_RA8D1_32SD_MIPI</f>
        <v>0</v>
      </c>
      <c r="AV68" cm="1">
        <f t="array" aca="1" ref="AV68" ca="1">GetPin_RA8D1_32SD_MIPI</f>
        <v>0</v>
      </c>
      <c r="AW68" cm="1">
        <f t="array" aca="1" ref="AW68" ca="1">GetPin_RA8D1_32SD_MIPI</f>
        <v>0</v>
      </c>
      <c r="AX68" cm="1">
        <f t="array" aca="1" ref="AX68" ca="1">GetPin_RA8D1_32SD_MIPI</f>
        <v>0</v>
      </c>
      <c r="AY68" cm="1">
        <f t="array" aca="1" ref="AY68" ca="1">GetPin_RA8D1_32SD_MIPI</f>
        <v>0</v>
      </c>
      <c r="AZ68" cm="1">
        <f t="array" aca="1" ref="AZ68" ca="1">GetPin_RA8D1_32SD_MIPI</f>
        <v>0</v>
      </c>
      <c r="BA68" cm="1">
        <f t="array" aca="1" ref="BA68" ca="1">GetPin_RA8D1_32SD_MIPI</f>
        <v>0</v>
      </c>
      <c r="BB68" cm="1">
        <f t="array" aca="1" ref="BB68" ca="1">GetPin_RA8D1_32SD_MIPI</f>
        <v>0</v>
      </c>
      <c r="BC68" cm="1">
        <f t="array" aca="1" ref="BC68" ca="1">GetPin_RA8D1_32SD_MIPI</f>
        <v>0</v>
      </c>
      <c r="BD68" cm="1">
        <f t="array" aca="1" ref="BD68" ca="1">GetPin_RA8D1_32SD_MIPI</f>
        <v>0</v>
      </c>
      <c r="BG68">
        <v>48</v>
      </c>
    </row>
    <row r="69" spans="17:59" x14ac:dyDescent="0.25">
      <c r="Q69">
        <f>IF(ISBLANK(BoardBTB!Q69),-1,(COUNTIF(U69:BD69,4)*4+IF(COUNTIF(U69:BD69,2),1,0)*2+IF(COUNTIF(U69:BD69,1),1,0)))</f>
        <v>-1</v>
      </c>
      <c r="R69">
        <f>IF(ISBLANK(BoardBTB!R69),-1,(COUNTIF(U69:BD69,4)*4+IF(COUNTIF(U69:BD69,2),1,0)*2+IF(COUNTIF(U69:BD69,1),1,0)))</f>
        <v>-1</v>
      </c>
      <c r="S69">
        <f>IF(ISBLANK(BoardBTB!S69),-1,(COUNTIF(U69:BD69,4)*4+IF(COUNTIF(U69:BD69,2),1,0)*2+IF(COUNTIF(U69:BD69,1),1,0)))</f>
        <v>-1</v>
      </c>
      <c r="T69">
        <f ca="1">IF(ISBLANK(BoardBTB!T69),-1,(COUNTIF(U69:BD69,4)*4+IF(COUNTIF(U69:BD69,2),1,0)*2+IF(COUNTIF(U69:BD69,1),1,0)))</f>
        <v>4</v>
      </c>
      <c r="U69" cm="1">
        <f t="array" aca="1" ref="U69" ca="1">GetPin_RA8D1_32SD_MIPI</f>
        <v>0</v>
      </c>
      <c r="V69" cm="1">
        <f t="array" aca="1" ref="V69" ca="1">GetPin_RA8D1_32SD_MIPI</f>
        <v>0</v>
      </c>
      <c r="W69" cm="1">
        <f t="array" aca="1" ref="W69" ca="1">GetPin_RA8D1_32SD_MIPI</f>
        <v>0</v>
      </c>
      <c r="X69" cm="1">
        <f t="array" aca="1" ref="X69" ca="1">GetPin_RA8D1_32SD_MIPI</f>
        <v>0</v>
      </c>
      <c r="Y69" cm="1">
        <f t="array" aca="1" ref="Y69" ca="1">GetPin_RA8D1_32SD_MIPI</f>
        <v>0</v>
      </c>
      <c r="Z69" cm="1">
        <f t="array" aca="1" ref="Z69" ca="1">GetPin_RA8D1_32SD_MIPI</f>
        <v>0</v>
      </c>
      <c r="AA69" cm="1">
        <f t="array" aca="1" ref="AA69" ca="1">GetPin_RA8D1_32SD_MIPI</f>
        <v>0</v>
      </c>
      <c r="AB69" cm="1">
        <f t="array" aca="1" ref="AB69" ca="1">GetPin_RA8D1_32SD_MIPI</f>
        <v>0</v>
      </c>
      <c r="AC69" cm="1">
        <f t="array" aca="1" ref="AC69" ca="1">GetPin_RA8D1_32SD_MIPI</f>
        <v>0</v>
      </c>
      <c r="AD69" cm="1">
        <f t="array" aca="1" ref="AD69" ca="1">GetPin_RA8D1_32SD_MIPI</f>
        <v>4</v>
      </c>
      <c r="AE69" cm="1">
        <f t="array" aca="1" ref="AE69" ca="1">GetPin_RA8D1_32SD_MIPI</f>
        <v>0</v>
      </c>
      <c r="AF69" cm="1">
        <f t="array" aca="1" ref="AF69" ca="1">GetPin_RA8D1_32SD_MIPI</f>
        <v>0</v>
      </c>
      <c r="AG69" cm="1">
        <f t="array" aca="1" ref="AG69" ca="1">GetPin_RA8D1_32SD_MIPI</f>
        <v>0</v>
      </c>
      <c r="AH69" cm="1">
        <f t="array" aca="1" ref="AH69" ca="1">GetPin_RA8D1_32SD_MIPI</f>
        <v>0</v>
      </c>
      <c r="AI69" cm="1">
        <f t="array" aca="1" ref="AI69" ca="1">GetPin_RA8D1_32SD_MIPI</f>
        <v>0</v>
      </c>
      <c r="AJ69" cm="1">
        <f t="array" aca="1" ref="AJ69" ca="1">GetPin_RA8D1_32SD_MIPI</f>
        <v>0</v>
      </c>
      <c r="AK69" cm="1">
        <f t="array" aca="1" ref="AK69" ca="1">GetPin_RA8D1_32SD_MIPI</f>
        <v>0</v>
      </c>
      <c r="AL69" cm="1">
        <f t="array" aca="1" ref="AL69" ca="1">GetPin_RA8D1_32SD_MIPI</f>
        <v>0</v>
      </c>
      <c r="AM69" cm="1">
        <f t="array" aca="1" ref="AM69" ca="1">GetPin_RA8D1_32SD_MIPI</f>
        <v>0</v>
      </c>
      <c r="AN69" cm="1">
        <f t="array" aca="1" ref="AN69" ca="1">GetPin_RA8D1_32SD_MIPI</f>
        <v>0</v>
      </c>
      <c r="AO69" cm="1">
        <f t="array" aca="1" ref="AO69" ca="1">GetPin_RA8D1_32SD_MIPI</f>
        <v>0</v>
      </c>
      <c r="AP69" cm="1">
        <f t="array" aca="1" ref="AP69" ca="1">GetPin_RA8D1_32SD_MIPI</f>
        <v>0</v>
      </c>
      <c r="AQ69" cm="1">
        <f t="array" aca="1" ref="AQ69" ca="1">GetPin_RA8D1_32SD_MIPI</f>
        <v>0</v>
      </c>
      <c r="AR69" cm="1">
        <f t="array" aca="1" ref="AR69" ca="1">GetPin_RA8D1_32SD_MIPI</f>
        <v>0</v>
      </c>
      <c r="AS69" cm="1">
        <f t="array" aca="1" ref="AS69" ca="1">GetPin_RA8D1_32SD_MIPI</f>
        <v>0</v>
      </c>
      <c r="AT69" cm="1">
        <f t="array" aca="1" ref="AT69" ca="1">GetPin_RA8D1_32SD_MIPI</f>
        <v>0</v>
      </c>
      <c r="AU69" cm="1">
        <f t="array" aca="1" ref="AU69" ca="1">GetPin_RA8D1_32SD_MIPI</f>
        <v>0</v>
      </c>
      <c r="AV69" cm="1">
        <f t="array" aca="1" ref="AV69" ca="1">GetPin_RA8D1_32SD_MIPI</f>
        <v>0</v>
      </c>
      <c r="AW69" cm="1">
        <f t="array" aca="1" ref="AW69" ca="1">GetPin_RA8D1_32SD_MIPI</f>
        <v>0</v>
      </c>
      <c r="AX69" cm="1">
        <f t="array" aca="1" ref="AX69" ca="1">GetPin_RA8D1_32SD_MIPI</f>
        <v>0</v>
      </c>
      <c r="AY69" cm="1">
        <f t="array" aca="1" ref="AY69" ca="1">GetPin_RA8D1_32SD_MIPI</f>
        <v>0</v>
      </c>
      <c r="AZ69" cm="1">
        <f t="array" aca="1" ref="AZ69" ca="1">GetPin_RA8D1_32SD_MIPI</f>
        <v>0</v>
      </c>
      <c r="BA69" cm="1">
        <f t="array" aca="1" ref="BA69" ca="1">GetPin_RA8D1_32SD_MIPI</f>
        <v>0</v>
      </c>
      <c r="BB69" cm="1">
        <f t="array" aca="1" ref="BB69" ca="1">GetPin_RA8D1_32SD_MIPI</f>
        <v>0</v>
      </c>
      <c r="BC69" cm="1">
        <f t="array" aca="1" ref="BC69" ca="1">GetPin_RA8D1_32SD_MIPI</f>
        <v>0</v>
      </c>
      <c r="BD69" cm="1">
        <f t="array" aca="1" ref="BD69" ca="1">GetPin_RA8D1_32SD_MIPI</f>
        <v>0</v>
      </c>
      <c r="BG69">
        <v>49</v>
      </c>
    </row>
    <row r="70" spans="17:59" x14ac:dyDescent="0.25">
      <c r="Q70">
        <f>IF(ISBLANK(BoardBTB!Q70),-1,(COUNTIF(U70:BD70,4)*4+IF(COUNTIF(U70:BD70,2),1,0)*2+IF(COUNTIF(U70:BD70,1),1,0)))</f>
        <v>-1</v>
      </c>
      <c r="R70">
        <f>IF(ISBLANK(BoardBTB!R70),-1,(COUNTIF(U70:BD70,4)*4+IF(COUNTIF(U70:BD70,2),1,0)*2+IF(COUNTIF(U70:BD70,1),1,0)))</f>
        <v>-1</v>
      </c>
      <c r="S70">
        <f>IF(ISBLANK(BoardBTB!S70),-1,(COUNTIF(U70:BD70,4)*4+IF(COUNTIF(U70:BD70,2),1,0)*2+IF(COUNTIF(U70:BD70,1),1,0)))</f>
        <v>-1</v>
      </c>
      <c r="T70">
        <f ca="1">IF(ISBLANK(BoardBTB!T70),-1,(COUNTIF(U70:BD70,4)*4+IF(COUNTIF(U70:BD70,2),1,0)*2+IF(COUNTIF(U70:BD70,1),1,0)))</f>
        <v>4</v>
      </c>
      <c r="U70" cm="1">
        <f t="array" aca="1" ref="U70" ca="1">GetPin_RA8D1_32SD_MIPI</f>
        <v>0</v>
      </c>
      <c r="V70" cm="1">
        <f t="array" aca="1" ref="V70" ca="1">GetPin_RA8D1_32SD_MIPI</f>
        <v>0</v>
      </c>
      <c r="W70" cm="1">
        <f t="array" aca="1" ref="W70" ca="1">GetPin_RA8D1_32SD_MIPI</f>
        <v>0</v>
      </c>
      <c r="X70" cm="1">
        <f t="array" aca="1" ref="X70" ca="1">GetPin_RA8D1_32SD_MIPI</f>
        <v>0</v>
      </c>
      <c r="Y70" cm="1">
        <f t="array" aca="1" ref="Y70" ca="1">GetPin_RA8D1_32SD_MIPI</f>
        <v>0</v>
      </c>
      <c r="Z70" cm="1">
        <f t="array" aca="1" ref="Z70" ca="1">GetPin_RA8D1_32SD_MIPI</f>
        <v>0</v>
      </c>
      <c r="AA70" cm="1">
        <f t="array" aca="1" ref="AA70" ca="1">GetPin_RA8D1_32SD_MIPI</f>
        <v>0</v>
      </c>
      <c r="AB70" cm="1">
        <f t="array" aca="1" ref="AB70" ca="1">GetPin_RA8D1_32SD_MIPI</f>
        <v>0</v>
      </c>
      <c r="AC70" cm="1">
        <f t="array" aca="1" ref="AC70" ca="1">GetPin_RA8D1_32SD_MIPI</f>
        <v>0</v>
      </c>
      <c r="AD70" cm="1">
        <f t="array" aca="1" ref="AD70" ca="1">GetPin_RA8D1_32SD_MIPI</f>
        <v>4</v>
      </c>
      <c r="AE70" cm="1">
        <f t="array" aca="1" ref="AE70" ca="1">GetPin_RA8D1_32SD_MIPI</f>
        <v>0</v>
      </c>
      <c r="AF70" cm="1">
        <f t="array" aca="1" ref="AF70" ca="1">GetPin_RA8D1_32SD_MIPI</f>
        <v>0</v>
      </c>
      <c r="AG70" cm="1">
        <f t="array" aca="1" ref="AG70" ca="1">GetPin_RA8D1_32SD_MIPI</f>
        <v>0</v>
      </c>
      <c r="AH70" cm="1">
        <f t="array" aca="1" ref="AH70" ca="1">GetPin_RA8D1_32SD_MIPI</f>
        <v>0</v>
      </c>
      <c r="AI70" cm="1">
        <f t="array" aca="1" ref="AI70" ca="1">GetPin_RA8D1_32SD_MIPI</f>
        <v>0</v>
      </c>
      <c r="AJ70" cm="1">
        <f t="array" aca="1" ref="AJ70" ca="1">GetPin_RA8D1_32SD_MIPI</f>
        <v>0</v>
      </c>
      <c r="AK70" cm="1">
        <f t="array" aca="1" ref="AK70" ca="1">GetPin_RA8D1_32SD_MIPI</f>
        <v>0</v>
      </c>
      <c r="AL70" cm="1">
        <f t="array" aca="1" ref="AL70" ca="1">GetPin_RA8D1_32SD_MIPI</f>
        <v>0</v>
      </c>
      <c r="AM70" cm="1">
        <f t="array" aca="1" ref="AM70" ca="1">GetPin_RA8D1_32SD_MIPI</f>
        <v>0</v>
      </c>
      <c r="AN70" cm="1">
        <f t="array" aca="1" ref="AN70" ca="1">GetPin_RA8D1_32SD_MIPI</f>
        <v>0</v>
      </c>
      <c r="AO70" cm="1">
        <f t="array" aca="1" ref="AO70" ca="1">GetPin_RA8D1_32SD_MIPI</f>
        <v>0</v>
      </c>
      <c r="AP70" cm="1">
        <f t="array" aca="1" ref="AP70" ca="1">GetPin_RA8D1_32SD_MIPI</f>
        <v>0</v>
      </c>
      <c r="AQ70" cm="1">
        <f t="array" aca="1" ref="AQ70" ca="1">GetPin_RA8D1_32SD_MIPI</f>
        <v>0</v>
      </c>
      <c r="AR70" cm="1">
        <f t="array" aca="1" ref="AR70" ca="1">GetPin_RA8D1_32SD_MIPI</f>
        <v>0</v>
      </c>
      <c r="AS70" cm="1">
        <f t="array" aca="1" ref="AS70" ca="1">GetPin_RA8D1_32SD_MIPI</f>
        <v>0</v>
      </c>
      <c r="AT70" cm="1">
        <f t="array" aca="1" ref="AT70" ca="1">GetPin_RA8D1_32SD_MIPI</f>
        <v>0</v>
      </c>
      <c r="AU70" cm="1">
        <f t="array" aca="1" ref="AU70" ca="1">GetPin_RA8D1_32SD_MIPI</f>
        <v>0</v>
      </c>
      <c r="AV70" cm="1">
        <f t="array" aca="1" ref="AV70" ca="1">GetPin_RA8D1_32SD_MIPI</f>
        <v>0</v>
      </c>
      <c r="AW70" cm="1">
        <f t="array" aca="1" ref="AW70" ca="1">GetPin_RA8D1_32SD_MIPI</f>
        <v>0</v>
      </c>
      <c r="AX70" cm="1">
        <f t="array" aca="1" ref="AX70" ca="1">GetPin_RA8D1_32SD_MIPI</f>
        <v>0</v>
      </c>
      <c r="AY70" cm="1">
        <f t="array" aca="1" ref="AY70" ca="1">GetPin_RA8D1_32SD_MIPI</f>
        <v>0</v>
      </c>
      <c r="AZ70" cm="1">
        <f t="array" aca="1" ref="AZ70" ca="1">GetPin_RA8D1_32SD_MIPI</f>
        <v>0</v>
      </c>
      <c r="BA70" cm="1">
        <f t="array" aca="1" ref="BA70" ca="1">GetPin_RA8D1_32SD_MIPI</f>
        <v>0</v>
      </c>
      <c r="BB70" cm="1">
        <f t="array" aca="1" ref="BB70" ca="1">GetPin_RA8D1_32SD_MIPI</f>
        <v>0</v>
      </c>
      <c r="BC70" cm="1">
        <f t="array" aca="1" ref="BC70" ca="1">GetPin_RA8D1_32SD_MIPI</f>
        <v>0</v>
      </c>
      <c r="BD70" cm="1">
        <f t="array" aca="1" ref="BD70" ca="1">GetPin_RA8D1_32SD_MIPI</f>
        <v>0</v>
      </c>
      <c r="BG70">
        <v>50</v>
      </c>
    </row>
    <row r="71" spans="17:59" x14ac:dyDescent="0.25">
      <c r="Q71">
        <f>IF(ISBLANK(BoardBTB!Q71),-1,(COUNTIF(U71:BD71,4)*4+IF(COUNTIF(U71:BD71,2),1,0)*2+IF(COUNTIF(U71:BD71,1),1,0)))</f>
        <v>-1</v>
      </c>
      <c r="R71">
        <f>IF(ISBLANK(BoardBTB!R71),-1,(COUNTIF(U71:BD71,4)*4+IF(COUNTIF(U71:BD71,2),1,0)*2+IF(COUNTIF(U71:BD71,1),1,0)))</f>
        <v>-1</v>
      </c>
      <c r="S71">
        <f>IF(ISBLANK(BoardBTB!S71),-1,(COUNTIF(U71:BD71,4)*4+IF(COUNTIF(U71:BD71,2),1,0)*2+IF(COUNTIF(U71:BD71,1),1,0)))</f>
        <v>-1</v>
      </c>
      <c r="T71">
        <f ca="1">IF(ISBLANK(BoardBTB!T71),-1,(COUNTIF(U71:BD71,4)*4+IF(COUNTIF(U71:BD71,2),1,0)*2+IF(COUNTIF(U71:BD71,1),1,0)))</f>
        <v>4</v>
      </c>
      <c r="U71" cm="1">
        <f t="array" aca="1" ref="U71" ca="1">GetPin_RA8D1_32SD_MIPI</f>
        <v>0</v>
      </c>
      <c r="V71" cm="1">
        <f t="array" aca="1" ref="V71" ca="1">GetPin_RA8D1_32SD_MIPI</f>
        <v>0</v>
      </c>
      <c r="W71" cm="1">
        <f t="array" aca="1" ref="W71" ca="1">GetPin_RA8D1_32SD_MIPI</f>
        <v>0</v>
      </c>
      <c r="X71" cm="1">
        <f t="array" aca="1" ref="X71" ca="1">GetPin_RA8D1_32SD_MIPI</f>
        <v>0</v>
      </c>
      <c r="Y71" cm="1">
        <f t="array" aca="1" ref="Y71" ca="1">GetPin_RA8D1_32SD_MIPI</f>
        <v>0</v>
      </c>
      <c r="Z71" cm="1">
        <f t="array" aca="1" ref="Z71" ca="1">GetPin_RA8D1_32SD_MIPI</f>
        <v>0</v>
      </c>
      <c r="AA71" cm="1">
        <f t="array" aca="1" ref="AA71" ca="1">GetPin_RA8D1_32SD_MIPI</f>
        <v>0</v>
      </c>
      <c r="AB71" cm="1">
        <f t="array" aca="1" ref="AB71" ca="1">GetPin_RA8D1_32SD_MIPI</f>
        <v>0</v>
      </c>
      <c r="AC71" cm="1">
        <f t="array" aca="1" ref="AC71" ca="1">GetPin_RA8D1_32SD_MIPI</f>
        <v>0</v>
      </c>
      <c r="AD71" cm="1">
        <f t="array" aca="1" ref="AD71" ca="1">GetPin_RA8D1_32SD_MIPI</f>
        <v>4</v>
      </c>
      <c r="AE71" cm="1">
        <f t="array" aca="1" ref="AE71" ca="1">GetPin_RA8D1_32SD_MIPI</f>
        <v>0</v>
      </c>
      <c r="AF71" cm="1">
        <f t="array" aca="1" ref="AF71" ca="1">GetPin_RA8D1_32SD_MIPI</f>
        <v>0</v>
      </c>
      <c r="AG71" cm="1">
        <f t="array" aca="1" ref="AG71" ca="1">GetPin_RA8D1_32SD_MIPI</f>
        <v>0</v>
      </c>
      <c r="AH71" cm="1">
        <f t="array" aca="1" ref="AH71" ca="1">GetPin_RA8D1_32SD_MIPI</f>
        <v>0</v>
      </c>
      <c r="AI71" cm="1">
        <f t="array" aca="1" ref="AI71" ca="1">GetPin_RA8D1_32SD_MIPI</f>
        <v>0</v>
      </c>
      <c r="AJ71" cm="1">
        <f t="array" aca="1" ref="AJ71" ca="1">GetPin_RA8D1_32SD_MIPI</f>
        <v>0</v>
      </c>
      <c r="AK71" cm="1">
        <f t="array" aca="1" ref="AK71" ca="1">GetPin_RA8D1_32SD_MIPI</f>
        <v>0</v>
      </c>
      <c r="AL71" cm="1">
        <f t="array" aca="1" ref="AL71" ca="1">GetPin_RA8D1_32SD_MIPI</f>
        <v>0</v>
      </c>
      <c r="AM71" cm="1">
        <f t="array" aca="1" ref="AM71" ca="1">GetPin_RA8D1_32SD_MIPI</f>
        <v>0</v>
      </c>
      <c r="AN71" cm="1">
        <f t="array" aca="1" ref="AN71" ca="1">GetPin_RA8D1_32SD_MIPI</f>
        <v>0</v>
      </c>
      <c r="AO71" cm="1">
        <f t="array" aca="1" ref="AO71" ca="1">GetPin_RA8D1_32SD_MIPI</f>
        <v>0</v>
      </c>
      <c r="AP71" cm="1">
        <f t="array" aca="1" ref="AP71" ca="1">GetPin_RA8D1_32SD_MIPI</f>
        <v>0</v>
      </c>
      <c r="AQ71" cm="1">
        <f t="array" aca="1" ref="AQ71" ca="1">GetPin_RA8D1_32SD_MIPI</f>
        <v>0</v>
      </c>
      <c r="AR71" cm="1">
        <f t="array" aca="1" ref="AR71" ca="1">GetPin_RA8D1_32SD_MIPI</f>
        <v>0</v>
      </c>
      <c r="AS71" cm="1">
        <f t="array" aca="1" ref="AS71" ca="1">GetPin_RA8D1_32SD_MIPI</f>
        <v>0</v>
      </c>
      <c r="AT71" cm="1">
        <f t="array" aca="1" ref="AT71" ca="1">GetPin_RA8D1_32SD_MIPI</f>
        <v>0</v>
      </c>
      <c r="AU71" cm="1">
        <f t="array" aca="1" ref="AU71" ca="1">GetPin_RA8D1_32SD_MIPI</f>
        <v>0</v>
      </c>
      <c r="AV71" cm="1">
        <f t="array" aca="1" ref="AV71" ca="1">GetPin_RA8D1_32SD_MIPI</f>
        <v>0</v>
      </c>
      <c r="AW71" cm="1">
        <f t="array" aca="1" ref="AW71" ca="1">GetPin_RA8D1_32SD_MIPI</f>
        <v>0</v>
      </c>
      <c r="AX71" cm="1">
        <f t="array" aca="1" ref="AX71" ca="1">GetPin_RA8D1_32SD_MIPI</f>
        <v>0</v>
      </c>
      <c r="AY71" cm="1">
        <f t="array" aca="1" ref="AY71" ca="1">GetPin_RA8D1_32SD_MIPI</f>
        <v>0</v>
      </c>
      <c r="AZ71" cm="1">
        <f t="array" aca="1" ref="AZ71" ca="1">GetPin_RA8D1_32SD_MIPI</f>
        <v>0</v>
      </c>
      <c r="BA71" cm="1">
        <f t="array" aca="1" ref="BA71" ca="1">GetPin_RA8D1_32SD_MIPI</f>
        <v>0</v>
      </c>
      <c r="BB71" cm="1">
        <f t="array" aca="1" ref="BB71" ca="1">GetPin_RA8D1_32SD_MIPI</f>
        <v>0</v>
      </c>
      <c r="BC71" cm="1">
        <f t="array" aca="1" ref="BC71" ca="1">GetPin_RA8D1_32SD_MIPI</f>
        <v>0</v>
      </c>
      <c r="BD71" cm="1">
        <f t="array" aca="1" ref="BD71" ca="1">GetPin_RA8D1_32SD_MIPI</f>
        <v>0</v>
      </c>
      <c r="BG71">
        <v>51</v>
      </c>
    </row>
    <row r="72" spans="17:59" x14ac:dyDescent="0.25">
      <c r="Q72">
        <f>IF(ISBLANK(BoardBTB!Q72),-1,(COUNTIF(U72:BD72,4)*4+IF(COUNTIF(U72:BD72,2),1,0)*2+IF(COUNTIF(U72:BD72,1),1,0)))</f>
        <v>-1</v>
      </c>
      <c r="R72">
        <f>IF(ISBLANK(BoardBTB!R72),-1,(COUNTIF(U72:BD72,4)*4+IF(COUNTIF(U72:BD72,2),1,0)*2+IF(COUNTIF(U72:BD72,1),1,0)))</f>
        <v>-1</v>
      </c>
      <c r="S72">
        <f>IF(ISBLANK(BoardBTB!S72),-1,(COUNTIF(U72:BD72,4)*4+IF(COUNTIF(U72:BD72,2),1,0)*2+IF(COUNTIF(U72:BD72,1),1,0)))</f>
        <v>-1</v>
      </c>
      <c r="T72">
        <f ca="1">IF(ISBLANK(BoardBTB!T72),-1,(COUNTIF(U72:BD72,4)*4+IF(COUNTIF(U72:BD72,2),1,0)*2+IF(COUNTIF(U72:BD72,1),1,0)))</f>
        <v>4</v>
      </c>
      <c r="U72" cm="1">
        <f t="array" aca="1" ref="U72" ca="1">GetPin_RA8D1_32SD_MIPI</f>
        <v>0</v>
      </c>
      <c r="V72" cm="1">
        <f t="array" aca="1" ref="V72" ca="1">GetPin_RA8D1_32SD_MIPI</f>
        <v>0</v>
      </c>
      <c r="W72" cm="1">
        <f t="array" aca="1" ref="W72" ca="1">GetPin_RA8D1_32SD_MIPI</f>
        <v>0</v>
      </c>
      <c r="X72" cm="1">
        <f t="array" aca="1" ref="X72" ca="1">GetPin_RA8D1_32SD_MIPI</f>
        <v>0</v>
      </c>
      <c r="Y72" cm="1">
        <f t="array" aca="1" ref="Y72" ca="1">GetPin_RA8D1_32SD_MIPI</f>
        <v>0</v>
      </c>
      <c r="Z72" cm="1">
        <f t="array" aca="1" ref="Z72" ca="1">GetPin_RA8D1_32SD_MIPI</f>
        <v>0</v>
      </c>
      <c r="AA72" cm="1">
        <f t="array" aca="1" ref="AA72" ca="1">GetPin_RA8D1_32SD_MIPI</f>
        <v>0</v>
      </c>
      <c r="AB72" cm="1">
        <f t="array" aca="1" ref="AB72" ca="1">GetPin_RA8D1_32SD_MIPI</f>
        <v>0</v>
      </c>
      <c r="AC72" cm="1">
        <f t="array" aca="1" ref="AC72" ca="1">GetPin_RA8D1_32SD_MIPI</f>
        <v>0</v>
      </c>
      <c r="AD72" cm="1">
        <f t="array" aca="1" ref="AD72" ca="1">GetPin_RA8D1_32SD_MIPI</f>
        <v>4</v>
      </c>
      <c r="AE72" cm="1">
        <f t="array" aca="1" ref="AE72" ca="1">GetPin_RA8D1_32SD_MIPI</f>
        <v>0</v>
      </c>
      <c r="AF72" cm="1">
        <f t="array" aca="1" ref="AF72" ca="1">GetPin_RA8D1_32SD_MIPI</f>
        <v>0</v>
      </c>
      <c r="AG72" cm="1">
        <f t="array" aca="1" ref="AG72" ca="1">GetPin_RA8D1_32SD_MIPI</f>
        <v>0</v>
      </c>
      <c r="AH72" cm="1">
        <f t="array" aca="1" ref="AH72" ca="1">GetPin_RA8D1_32SD_MIPI</f>
        <v>0</v>
      </c>
      <c r="AI72" cm="1">
        <f t="array" aca="1" ref="AI72" ca="1">GetPin_RA8D1_32SD_MIPI</f>
        <v>0</v>
      </c>
      <c r="AJ72" cm="1">
        <f t="array" aca="1" ref="AJ72" ca="1">GetPin_RA8D1_32SD_MIPI</f>
        <v>0</v>
      </c>
      <c r="AK72" cm="1">
        <f t="array" aca="1" ref="AK72" ca="1">GetPin_RA8D1_32SD_MIPI</f>
        <v>0</v>
      </c>
      <c r="AL72" cm="1">
        <f t="array" aca="1" ref="AL72" ca="1">GetPin_RA8D1_32SD_MIPI</f>
        <v>0</v>
      </c>
      <c r="AM72" cm="1">
        <f t="array" aca="1" ref="AM72" ca="1">GetPin_RA8D1_32SD_MIPI</f>
        <v>0</v>
      </c>
      <c r="AN72" cm="1">
        <f t="array" aca="1" ref="AN72" ca="1">GetPin_RA8D1_32SD_MIPI</f>
        <v>0</v>
      </c>
      <c r="AO72" cm="1">
        <f t="array" aca="1" ref="AO72" ca="1">GetPin_RA8D1_32SD_MIPI</f>
        <v>0</v>
      </c>
      <c r="AP72" cm="1">
        <f t="array" aca="1" ref="AP72" ca="1">GetPin_RA8D1_32SD_MIPI</f>
        <v>0</v>
      </c>
      <c r="AQ72" cm="1">
        <f t="array" aca="1" ref="AQ72" ca="1">GetPin_RA8D1_32SD_MIPI</f>
        <v>0</v>
      </c>
      <c r="AR72" cm="1">
        <f t="array" aca="1" ref="AR72" ca="1">GetPin_RA8D1_32SD_MIPI</f>
        <v>0</v>
      </c>
      <c r="AS72" cm="1">
        <f t="array" aca="1" ref="AS72" ca="1">GetPin_RA8D1_32SD_MIPI</f>
        <v>0</v>
      </c>
      <c r="AT72" cm="1">
        <f t="array" aca="1" ref="AT72" ca="1">GetPin_RA8D1_32SD_MIPI</f>
        <v>0</v>
      </c>
      <c r="AU72" cm="1">
        <f t="array" aca="1" ref="AU72" ca="1">GetPin_RA8D1_32SD_MIPI</f>
        <v>0</v>
      </c>
      <c r="AV72" cm="1">
        <f t="array" aca="1" ref="AV72" ca="1">GetPin_RA8D1_32SD_MIPI</f>
        <v>0</v>
      </c>
      <c r="AW72" cm="1">
        <f t="array" aca="1" ref="AW72" ca="1">GetPin_RA8D1_32SD_MIPI</f>
        <v>0</v>
      </c>
      <c r="AX72" cm="1">
        <f t="array" aca="1" ref="AX72" ca="1">GetPin_RA8D1_32SD_MIPI</f>
        <v>0</v>
      </c>
      <c r="AY72" cm="1">
        <f t="array" aca="1" ref="AY72" ca="1">GetPin_RA8D1_32SD_MIPI</f>
        <v>0</v>
      </c>
      <c r="AZ72" cm="1">
        <f t="array" aca="1" ref="AZ72" ca="1">GetPin_RA8D1_32SD_MIPI</f>
        <v>0</v>
      </c>
      <c r="BA72" cm="1">
        <f t="array" aca="1" ref="BA72" ca="1">GetPin_RA8D1_32SD_MIPI</f>
        <v>0</v>
      </c>
      <c r="BB72" cm="1">
        <f t="array" aca="1" ref="BB72" ca="1">GetPin_RA8D1_32SD_MIPI</f>
        <v>0</v>
      </c>
      <c r="BC72" cm="1">
        <f t="array" aca="1" ref="BC72" ca="1">GetPin_RA8D1_32SD_MIPI</f>
        <v>0</v>
      </c>
      <c r="BD72" cm="1">
        <f t="array" aca="1" ref="BD72" ca="1">GetPin_RA8D1_32SD_MIPI</f>
        <v>0</v>
      </c>
      <c r="BG72">
        <v>52</v>
      </c>
    </row>
    <row r="73" spans="17:59" x14ac:dyDescent="0.25">
      <c r="Q73">
        <f>IF(ISBLANK(BoardBTB!Q73),-1,(COUNTIF(U73:BD73,4)*4+IF(COUNTIF(U73:BD73,2),1,0)*2+IF(COUNTIF(U73:BD73,1),1,0)))</f>
        <v>-1</v>
      </c>
      <c r="R73">
        <f>IF(ISBLANK(BoardBTB!R73),-1,(COUNTIF(U73:BD73,4)*4+IF(COUNTIF(U73:BD73,2),1,0)*2+IF(COUNTIF(U73:BD73,1),1,0)))</f>
        <v>-1</v>
      </c>
      <c r="S73">
        <f>IF(ISBLANK(BoardBTB!S73),-1,(COUNTIF(U73:BD73,4)*4+IF(COUNTIF(U73:BD73,2),1,0)*2+IF(COUNTIF(U73:BD73,1),1,0)))</f>
        <v>-1</v>
      </c>
      <c r="T73">
        <f ca="1">IF(ISBLANK(BoardBTB!T73),-1,(COUNTIF(U73:BD73,4)*4+IF(COUNTIF(U73:BD73,2),1,0)*2+IF(COUNTIF(U73:BD73,1),1,0)))</f>
        <v>4</v>
      </c>
      <c r="U73" cm="1">
        <f t="array" aca="1" ref="U73" ca="1">GetPin_RA8D1_32SD_MIPI</f>
        <v>0</v>
      </c>
      <c r="V73" cm="1">
        <f t="array" aca="1" ref="V73" ca="1">GetPin_RA8D1_32SD_MIPI</f>
        <v>0</v>
      </c>
      <c r="W73" cm="1">
        <f t="array" aca="1" ref="W73" ca="1">GetPin_RA8D1_32SD_MIPI</f>
        <v>0</v>
      </c>
      <c r="X73" cm="1">
        <f t="array" aca="1" ref="X73" ca="1">GetPin_RA8D1_32SD_MIPI</f>
        <v>0</v>
      </c>
      <c r="Y73" cm="1">
        <f t="array" aca="1" ref="Y73" ca="1">GetPin_RA8D1_32SD_MIPI</f>
        <v>0</v>
      </c>
      <c r="Z73" cm="1">
        <f t="array" aca="1" ref="Z73" ca="1">GetPin_RA8D1_32SD_MIPI</f>
        <v>0</v>
      </c>
      <c r="AA73" cm="1">
        <f t="array" aca="1" ref="AA73" ca="1">GetPin_RA8D1_32SD_MIPI</f>
        <v>0</v>
      </c>
      <c r="AB73" cm="1">
        <f t="array" aca="1" ref="AB73" ca="1">GetPin_RA8D1_32SD_MIPI</f>
        <v>0</v>
      </c>
      <c r="AC73" cm="1">
        <f t="array" aca="1" ref="AC73" ca="1">GetPin_RA8D1_32SD_MIPI</f>
        <v>0</v>
      </c>
      <c r="AD73" cm="1">
        <f t="array" aca="1" ref="AD73" ca="1">GetPin_RA8D1_32SD_MIPI</f>
        <v>4</v>
      </c>
      <c r="AE73" cm="1">
        <f t="array" aca="1" ref="AE73" ca="1">GetPin_RA8D1_32SD_MIPI</f>
        <v>0</v>
      </c>
      <c r="AF73" cm="1">
        <f t="array" aca="1" ref="AF73" ca="1">GetPin_RA8D1_32SD_MIPI</f>
        <v>0</v>
      </c>
      <c r="AG73" cm="1">
        <f t="array" aca="1" ref="AG73" ca="1">GetPin_RA8D1_32SD_MIPI</f>
        <v>0</v>
      </c>
      <c r="AH73" cm="1">
        <f t="array" aca="1" ref="AH73" ca="1">GetPin_RA8D1_32SD_MIPI</f>
        <v>0</v>
      </c>
      <c r="AI73" cm="1">
        <f t="array" aca="1" ref="AI73" ca="1">GetPin_RA8D1_32SD_MIPI</f>
        <v>0</v>
      </c>
      <c r="AJ73" cm="1">
        <f t="array" aca="1" ref="AJ73" ca="1">GetPin_RA8D1_32SD_MIPI</f>
        <v>0</v>
      </c>
      <c r="AK73" cm="1">
        <f t="array" aca="1" ref="AK73" ca="1">GetPin_RA8D1_32SD_MIPI</f>
        <v>0</v>
      </c>
      <c r="AL73" cm="1">
        <f t="array" aca="1" ref="AL73" ca="1">GetPin_RA8D1_32SD_MIPI</f>
        <v>0</v>
      </c>
      <c r="AM73" cm="1">
        <f t="array" aca="1" ref="AM73" ca="1">GetPin_RA8D1_32SD_MIPI</f>
        <v>0</v>
      </c>
      <c r="AN73" cm="1">
        <f t="array" aca="1" ref="AN73" ca="1">GetPin_RA8D1_32SD_MIPI</f>
        <v>0</v>
      </c>
      <c r="AO73" cm="1">
        <f t="array" aca="1" ref="AO73" ca="1">GetPin_RA8D1_32SD_MIPI</f>
        <v>0</v>
      </c>
      <c r="AP73" cm="1">
        <f t="array" aca="1" ref="AP73" ca="1">GetPin_RA8D1_32SD_MIPI</f>
        <v>0</v>
      </c>
      <c r="AQ73" cm="1">
        <f t="array" aca="1" ref="AQ73" ca="1">GetPin_RA8D1_32SD_MIPI</f>
        <v>0</v>
      </c>
      <c r="AR73" cm="1">
        <f t="array" aca="1" ref="AR73" ca="1">GetPin_RA8D1_32SD_MIPI</f>
        <v>0</v>
      </c>
      <c r="AS73" cm="1">
        <f t="array" aca="1" ref="AS73" ca="1">GetPin_RA8D1_32SD_MIPI</f>
        <v>0</v>
      </c>
      <c r="AT73" cm="1">
        <f t="array" aca="1" ref="AT73" ca="1">GetPin_RA8D1_32SD_MIPI</f>
        <v>0</v>
      </c>
      <c r="AU73" cm="1">
        <f t="array" aca="1" ref="AU73" ca="1">GetPin_RA8D1_32SD_MIPI</f>
        <v>0</v>
      </c>
      <c r="AV73" cm="1">
        <f t="array" aca="1" ref="AV73" ca="1">GetPin_RA8D1_32SD_MIPI</f>
        <v>0</v>
      </c>
      <c r="AW73" cm="1">
        <f t="array" aca="1" ref="AW73" ca="1">GetPin_RA8D1_32SD_MIPI</f>
        <v>0</v>
      </c>
      <c r="AX73" cm="1">
        <f t="array" aca="1" ref="AX73" ca="1">GetPin_RA8D1_32SD_MIPI</f>
        <v>0</v>
      </c>
      <c r="AY73" cm="1">
        <f t="array" aca="1" ref="AY73" ca="1">GetPin_RA8D1_32SD_MIPI</f>
        <v>0</v>
      </c>
      <c r="AZ73" cm="1">
        <f t="array" aca="1" ref="AZ73" ca="1">GetPin_RA8D1_32SD_MIPI</f>
        <v>0</v>
      </c>
      <c r="BA73" cm="1">
        <f t="array" aca="1" ref="BA73" ca="1">GetPin_RA8D1_32SD_MIPI</f>
        <v>0</v>
      </c>
      <c r="BB73" cm="1">
        <f t="array" aca="1" ref="BB73" ca="1">GetPin_RA8D1_32SD_MIPI</f>
        <v>0</v>
      </c>
      <c r="BC73" cm="1">
        <f t="array" aca="1" ref="BC73" ca="1">GetPin_RA8D1_32SD_MIPI</f>
        <v>0</v>
      </c>
      <c r="BD73" cm="1">
        <f t="array" aca="1" ref="BD73" ca="1">GetPin_RA8D1_32SD_MIPI</f>
        <v>0</v>
      </c>
      <c r="BG73">
        <v>53</v>
      </c>
    </row>
    <row r="74" spans="17:59" x14ac:dyDescent="0.25">
      <c r="Q74">
        <f>IF(ISBLANK(BoardBTB!Q74),-1,(COUNTIF(U74:BD74,4)*4+IF(COUNTIF(U74:BD74,2),1,0)*2+IF(COUNTIF(U74:BD74,1),1,0)))</f>
        <v>-1</v>
      </c>
      <c r="R74">
        <f>IF(ISBLANK(BoardBTB!R74),-1,(COUNTIF(U74:BD74,4)*4+IF(COUNTIF(U74:BD74,2),1,0)*2+IF(COUNTIF(U74:BD74,1),1,0)))</f>
        <v>-1</v>
      </c>
      <c r="S74">
        <f>IF(ISBLANK(BoardBTB!S74),-1,(COUNTIF(U74:BD74,4)*4+IF(COUNTIF(U74:BD74,2),1,0)*2+IF(COUNTIF(U74:BD74,1),1,0)))</f>
        <v>-1</v>
      </c>
      <c r="T74">
        <f ca="1">IF(ISBLANK(BoardBTB!T74),-1,(COUNTIF(U74:BD74,4)*4+IF(COUNTIF(U74:BD74,2),1,0)*2+IF(COUNTIF(U74:BD74,1),1,0)))</f>
        <v>0</v>
      </c>
      <c r="U74" cm="1">
        <f t="array" aca="1" ref="U74" ca="1">GetPin_RA8D1_32SD_MIPI</f>
        <v>0</v>
      </c>
      <c r="V74" cm="1">
        <f t="array" aca="1" ref="V74" ca="1">GetPin_RA8D1_32SD_MIPI</f>
        <v>0</v>
      </c>
      <c r="W74" cm="1">
        <f t="array" aca="1" ref="W74" ca="1">GetPin_RA8D1_32SD_MIPI</f>
        <v>0</v>
      </c>
      <c r="X74" cm="1">
        <f t="array" aca="1" ref="X74" ca="1">GetPin_RA8D1_32SD_MIPI</f>
        <v>0</v>
      </c>
      <c r="Y74" cm="1">
        <f t="array" aca="1" ref="Y74" ca="1">GetPin_RA8D1_32SD_MIPI</f>
        <v>0</v>
      </c>
      <c r="Z74" cm="1">
        <f t="array" aca="1" ref="Z74" ca="1">GetPin_RA8D1_32SD_MIPI</f>
        <v>0</v>
      </c>
      <c r="AA74" cm="1">
        <f t="array" aca="1" ref="AA74" ca="1">GetPin_RA8D1_32SD_MIPI</f>
        <v>0</v>
      </c>
      <c r="AB74" cm="1">
        <f t="array" aca="1" ref="AB74" ca="1">GetPin_RA8D1_32SD_MIPI</f>
        <v>0</v>
      </c>
      <c r="AC74" cm="1">
        <f t="array" aca="1" ref="AC74" ca="1">GetPin_RA8D1_32SD_MIPI</f>
        <v>0</v>
      </c>
      <c r="AD74" cm="1">
        <f t="array" aca="1" ref="AD74" ca="1">GetPin_RA8D1_32SD_MIPI</f>
        <v>0</v>
      </c>
      <c r="AE74" cm="1">
        <f t="array" aca="1" ref="AE74" ca="1">GetPin_RA8D1_32SD_MIPI</f>
        <v>0</v>
      </c>
      <c r="AF74" cm="1">
        <f t="array" aca="1" ref="AF74" ca="1">GetPin_RA8D1_32SD_MIPI</f>
        <v>0</v>
      </c>
      <c r="AG74" cm="1">
        <f t="array" aca="1" ref="AG74" ca="1">GetPin_RA8D1_32SD_MIPI</f>
        <v>0</v>
      </c>
      <c r="AH74" cm="1">
        <f t="array" aca="1" ref="AH74" ca="1">GetPin_RA8D1_32SD_MIPI</f>
        <v>0</v>
      </c>
      <c r="AI74" cm="1">
        <f t="array" aca="1" ref="AI74" ca="1">GetPin_RA8D1_32SD_MIPI</f>
        <v>0</v>
      </c>
      <c r="AJ74" cm="1">
        <f t="array" aca="1" ref="AJ74" ca="1">GetPin_RA8D1_32SD_MIPI</f>
        <v>0</v>
      </c>
      <c r="AK74" cm="1">
        <f t="array" aca="1" ref="AK74" ca="1">GetPin_RA8D1_32SD_MIPI</f>
        <v>0</v>
      </c>
      <c r="AL74" cm="1">
        <f t="array" aca="1" ref="AL74" ca="1">GetPin_RA8D1_32SD_MIPI</f>
        <v>0</v>
      </c>
      <c r="AM74" cm="1">
        <f t="array" aca="1" ref="AM74" ca="1">GetPin_RA8D1_32SD_MIPI</f>
        <v>0</v>
      </c>
      <c r="AN74" cm="1">
        <f t="array" aca="1" ref="AN74" ca="1">GetPin_RA8D1_32SD_MIPI</f>
        <v>0</v>
      </c>
      <c r="AO74" cm="1">
        <f t="array" aca="1" ref="AO74" ca="1">GetPin_RA8D1_32SD_MIPI</f>
        <v>0</v>
      </c>
      <c r="AP74" cm="1">
        <f t="array" aca="1" ref="AP74" ca="1">GetPin_RA8D1_32SD_MIPI</f>
        <v>0</v>
      </c>
      <c r="AQ74" cm="1">
        <f t="array" aca="1" ref="AQ74" ca="1">GetPin_RA8D1_32SD_MIPI</f>
        <v>0</v>
      </c>
      <c r="AR74" cm="1">
        <f t="array" aca="1" ref="AR74" ca="1">GetPin_RA8D1_32SD_MIPI</f>
        <v>0</v>
      </c>
      <c r="AS74" cm="1">
        <f t="array" aca="1" ref="AS74" ca="1">GetPin_RA8D1_32SD_MIPI</f>
        <v>0</v>
      </c>
      <c r="AT74" cm="1">
        <f t="array" aca="1" ref="AT74" ca="1">GetPin_RA8D1_32SD_MIPI</f>
        <v>0</v>
      </c>
      <c r="AU74" cm="1">
        <f t="array" aca="1" ref="AU74" ca="1">GetPin_RA8D1_32SD_MIPI</f>
        <v>0</v>
      </c>
      <c r="AV74" cm="1">
        <f t="array" aca="1" ref="AV74" ca="1">GetPin_RA8D1_32SD_MIPI</f>
        <v>0</v>
      </c>
      <c r="AW74" cm="1">
        <f t="array" aca="1" ref="AW74" ca="1">GetPin_RA8D1_32SD_MIPI</f>
        <v>0</v>
      </c>
      <c r="AX74" cm="1">
        <f t="array" aca="1" ref="AX74" ca="1">GetPin_RA8D1_32SD_MIPI</f>
        <v>0</v>
      </c>
      <c r="AY74" cm="1">
        <f t="array" aca="1" ref="AY74" ca="1">GetPin_RA8D1_32SD_MIPI</f>
        <v>0</v>
      </c>
      <c r="AZ74" cm="1">
        <f t="array" aca="1" ref="AZ74" ca="1">GetPin_RA8D1_32SD_MIPI</f>
        <v>0</v>
      </c>
      <c r="BA74" cm="1">
        <f t="array" aca="1" ref="BA74" ca="1">GetPin_RA8D1_32SD_MIPI</f>
        <v>0</v>
      </c>
      <c r="BB74" cm="1">
        <f t="array" aca="1" ref="BB74" ca="1">GetPin_RA8D1_32SD_MIPI</f>
        <v>0</v>
      </c>
      <c r="BC74" cm="1">
        <f t="array" aca="1" ref="BC74" ca="1">GetPin_RA8D1_32SD_MIPI</f>
        <v>0</v>
      </c>
      <c r="BD74" cm="1">
        <f t="array" aca="1" ref="BD74" ca="1">GetPin_RA8D1_32SD_MIPI</f>
        <v>0</v>
      </c>
      <c r="BG74">
        <v>54</v>
      </c>
    </row>
    <row r="75" spans="17:59" x14ac:dyDescent="0.25">
      <c r="Q75">
        <f>IF(ISBLANK(BoardBTB!Q75),-1,(COUNTIF(U75:BD75,4)*4+IF(COUNTIF(U75:BD75,2),1,0)*2+IF(COUNTIF(U75:BD75,1),1,0)))</f>
        <v>-1</v>
      </c>
      <c r="R75">
        <f>IF(ISBLANK(BoardBTB!R75),-1,(COUNTIF(U75:BD75,4)*4+IF(COUNTIF(U75:BD75,2),1,0)*2+IF(COUNTIF(U75:BD75,1),1,0)))</f>
        <v>-1</v>
      </c>
      <c r="S75">
        <f>IF(ISBLANK(BoardBTB!S75),-1,(COUNTIF(U75:BD75,4)*4+IF(COUNTIF(U75:BD75,2),1,0)*2+IF(COUNTIF(U75:BD75,1),1,0)))</f>
        <v>-1</v>
      </c>
      <c r="T75">
        <f ca="1">IF(ISBLANK(BoardBTB!T75),-1,(COUNTIF(U75:BD75,4)*4+IF(COUNTIF(U75:BD75,2),1,0)*2+IF(COUNTIF(U75:BD75,1),1,0)))</f>
        <v>0</v>
      </c>
      <c r="U75" cm="1">
        <f t="array" aca="1" ref="U75" ca="1">GetPin_RA8D1_32SD_MIPI</f>
        <v>0</v>
      </c>
      <c r="V75" cm="1">
        <f t="array" aca="1" ref="V75" ca="1">GetPin_RA8D1_32SD_MIPI</f>
        <v>0</v>
      </c>
      <c r="W75" cm="1">
        <f t="array" aca="1" ref="W75" ca="1">GetPin_RA8D1_32SD_MIPI</f>
        <v>0</v>
      </c>
      <c r="X75" cm="1">
        <f t="array" aca="1" ref="X75" ca="1">GetPin_RA8D1_32SD_MIPI</f>
        <v>0</v>
      </c>
      <c r="Y75" cm="1">
        <f t="array" aca="1" ref="Y75" ca="1">GetPin_RA8D1_32SD_MIPI</f>
        <v>0</v>
      </c>
      <c r="Z75" cm="1">
        <f t="array" aca="1" ref="Z75" ca="1">GetPin_RA8D1_32SD_MIPI</f>
        <v>0</v>
      </c>
      <c r="AA75" cm="1">
        <f t="array" aca="1" ref="AA75" ca="1">GetPin_RA8D1_32SD_MIPI</f>
        <v>0</v>
      </c>
      <c r="AB75" cm="1">
        <f t="array" aca="1" ref="AB75" ca="1">GetPin_RA8D1_32SD_MIPI</f>
        <v>0</v>
      </c>
      <c r="AC75" cm="1">
        <f t="array" aca="1" ref="AC75" ca="1">GetPin_RA8D1_32SD_MIPI</f>
        <v>0</v>
      </c>
      <c r="AD75" cm="1">
        <f t="array" aca="1" ref="AD75" ca="1">GetPin_RA8D1_32SD_MIPI</f>
        <v>0</v>
      </c>
      <c r="AE75" cm="1">
        <f t="array" aca="1" ref="AE75" ca="1">GetPin_RA8D1_32SD_MIPI</f>
        <v>0</v>
      </c>
      <c r="AF75" cm="1">
        <f t="array" aca="1" ref="AF75" ca="1">GetPin_RA8D1_32SD_MIPI</f>
        <v>0</v>
      </c>
      <c r="AG75" cm="1">
        <f t="array" aca="1" ref="AG75" ca="1">GetPin_RA8D1_32SD_MIPI</f>
        <v>0</v>
      </c>
      <c r="AH75" cm="1">
        <f t="array" aca="1" ref="AH75" ca="1">GetPin_RA8D1_32SD_MIPI</f>
        <v>0</v>
      </c>
      <c r="AI75" cm="1">
        <f t="array" aca="1" ref="AI75" ca="1">GetPin_RA8D1_32SD_MIPI</f>
        <v>0</v>
      </c>
      <c r="AJ75" cm="1">
        <f t="array" aca="1" ref="AJ75" ca="1">GetPin_RA8D1_32SD_MIPI</f>
        <v>0</v>
      </c>
      <c r="AK75" cm="1">
        <f t="array" aca="1" ref="AK75" ca="1">GetPin_RA8D1_32SD_MIPI</f>
        <v>0</v>
      </c>
      <c r="AL75" cm="1">
        <f t="array" aca="1" ref="AL75" ca="1">GetPin_RA8D1_32SD_MIPI</f>
        <v>0</v>
      </c>
      <c r="AM75" cm="1">
        <f t="array" aca="1" ref="AM75" ca="1">GetPin_RA8D1_32SD_MIPI</f>
        <v>0</v>
      </c>
      <c r="AN75" cm="1">
        <f t="array" aca="1" ref="AN75" ca="1">GetPin_RA8D1_32SD_MIPI</f>
        <v>0</v>
      </c>
      <c r="AO75" cm="1">
        <f t="array" aca="1" ref="AO75" ca="1">GetPin_RA8D1_32SD_MIPI</f>
        <v>0</v>
      </c>
      <c r="AP75" cm="1">
        <f t="array" aca="1" ref="AP75" ca="1">GetPin_RA8D1_32SD_MIPI</f>
        <v>0</v>
      </c>
      <c r="AQ75" cm="1">
        <f t="array" aca="1" ref="AQ75" ca="1">GetPin_RA8D1_32SD_MIPI</f>
        <v>0</v>
      </c>
      <c r="AR75" cm="1">
        <f t="array" aca="1" ref="AR75" ca="1">GetPin_RA8D1_32SD_MIPI</f>
        <v>0</v>
      </c>
      <c r="AS75" cm="1">
        <f t="array" aca="1" ref="AS75" ca="1">GetPin_RA8D1_32SD_MIPI</f>
        <v>0</v>
      </c>
      <c r="AT75" cm="1">
        <f t="array" aca="1" ref="AT75" ca="1">GetPin_RA8D1_32SD_MIPI</f>
        <v>0</v>
      </c>
      <c r="AU75" cm="1">
        <f t="array" aca="1" ref="AU75" ca="1">GetPin_RA8D1_32SD_MIPI</f>
        <v>0</v>
      </c>
      <c r="AV75" cm="1">
        <f t="array" aca="1" ref="AV75" ca="1">GetPin_RA8D1_32SD_MIPI</f>
        <v>0</v>
      </c>
      <c r="AW75" cm="1">
        <f t="array" aca="1" ref="AW75" ca="1">GetPin_RA8D1_32SD_MIPI</f>
        <v>0</v>
      </c>
      <c r="AX75" cm="1">
        <f t="array" aca="1" ref="AX75" ca="1">GetPin_RA8D1_32SD_MIPI</f>
        <v>0</v>
      </c>
      <c r="AY75" cm="1">
        <f t="array" aca="1" ref="AY75" ca="1">GetPin_RA8D1_32SD_MIPI</f>
        <v>0</v>
      </c>
      <c r="AZ75" cm="1">
        <f t="array" aca="1" ref="AZ75" ca="1">GetPin_RA8D1_32SD_MIPI</f>
        <v>0</v>
      </c>
      <c r="BA75" cm="1">
        <f t="array" aca="1" ref="BA75" ca="1">GetPin_RA8D1_32SD_MIPI</f>
        <v>0</v>
      </c>
      <c r="BB75" cm="1">
        <f t="array" aca="1" ref="BB75" ca="1">GetPin_RA8D1_32SD_MIPI</f>
        <v>0</v>
      </c>
      <c r="BC75" cm="1">
        <f t="array" aca="1" ref="BC75" ca="1">GetPin_RA8D1_32SD_MIPI</f>
        <v>0</v>
      </c>
      <c r="BD75" cm="1">
        <f t="array" aca="1" ref="BD75" ca="1">GetPin_RA8D1_32SD_MIPI</f>
        <v>0</v>
      </c>
      <c r="BG75">
        <v>55</v>
      </c>
    </row>
    <row r="76" spans="17:59" x14ac:dyDescent="0.25">
      <c r="Q76">
        <f>IF(ISBLANK(BoardBTB!Q76),-1,(COUNTIF(U76:BD76,4)*4+IF(COUNTIF(U76:BD76,2),1,0)*2+IF(COUNTIF(U76:BD76,1),1,0)))</f>
        <v>-1</v>
      </c>
      <c r="R76">
        <f>IF(ISBLANK(BoardBTB!R76),-1,(COUNTIF(U76:BD76,4)*4+IF(COUNTIF(U76:BD76,2),1,0)*2+IF(COUNTIF(U76:BD76,1),1,0)))</f>
        <v>-1</v>
      </c>
      <c r="S76">
        <f>IF(ISBLANK(BoardBTB!S76),-1,(COUNTIF(U76:BD76,4)*4+IF(COUNTIF(U76:BD76,2),1,0)*2+IF(COUNTIF(U76:BD76,1),1,0)))</f>
        <v>-1</v>
      </c>
      <c r="T76">
        <f ca="1">IF(ISBLANK(BoardBTB!T76),-1,(COUNTIF(U76:BD76,4)*4+IF(COUNTIF(U76:BD76,2),1,0)*2+IF(COUNTIF(U76:BD76,1),1,0)))</f>
        <v>0</v>
      </c>
      <c r="U76" cm="1">
        <f t="array" aca="1" ref="U76" ca="1">GetPin_RA8D1_32SD_MIPI</f>
        <v>0</v>
      </c>
      <c r="V76" cm="1">
        <f t="array" aca="1" ref="V76" ca="1">GetPin_RA8D1_32SD_MIPI</f>
        <v>0</v>
      </c>
      <c r="W76" cm="1">
        <f t="array" aca="1" ref="W76" ca="1">GetPin_RA8D1_32SD_MIPI</f>
        <v>0</v>
      </c>
      <c r="X76" cm="1">
        <f t="array" aca="1" ref="X76" ca="1">GetPin_RA8D1_32SD_MIPI</f>
        <v>0</v>
      </c>
      <c r="Y76" cm="1">
        <f t="array" aca="1" ref="Y76" ca="1">GetPin_RA8D1_32SD_MIPI</f>
        <v>0</v>
      </c>
      <c r="Z76" cm="1">
        <f t="array" aca="1" ref="Z76" ca="1">GetPin_RA8D1_32SD_MIPI</f>
        <v>0</v>
      </c>
      <c r="AA76" cm="1">
        <f t="array" aca="1" ref="AA76" ca="1">GetPin_RA8D1_32SD_MIPI</f>
        <v>0</v>
      </c>
      <c r="AB76" cm="1">
        <f t="array" aca="1" ref="AB76" ca="1">GetPin_RA8D1_32SD_MIPI</f>
        <v>0</v>
      </c>
      <c r="AC76" cm="1">
        <f t="array" aca="1" ref="AC76" ca="1">GetPin_RA8D1_32SD_MIPI</f>
        <v>0</v>
      </c>
      <c r="AD76" cm="1">
        <f t="array" aca="1" ref="AD76" ca="1">GetPin_RA8D1_32SD_MIPI</f>
        <v>0</v>
      </c>
      <c r="AE76" cm="1">
        <f t="array" aca="1" ref="AE76" ca="1">GetPin_RA8D1_32SD_MIPI</f>
        <v>0</v>
      </c>
      <c r="AF76" cm="1">
        <f t="array" aca="1" ref="AF76" ca="1">GetPin_RA8D1_32SD_MIPI</f>
        <v>0</v>
      </c>
      <c r="AG76" cm="1">
        <f t="array" aca="1" ref="AG76" ca="1">GetPin_RA8D1_32SD_MIPI</f>
        <v>0</v>
      </c>
      <c r="AH76" cm="1">
        <f t="array" aca="1" ref="AH76" ca="1">GetPin_RA8D1_32SD_MIPI</f>
        <v>0</v>
      </c>
      <c r="AI76" cm="1">
        <f t="array" aca="1" ref="AI76" ca="1">GetPin_RA8D1_32SD_MIPI</f>
        <v>0</v>
      </c>
      <c r="AJ76" cm="1">
        <f t="array" aca="1" ref="AJ76" ca="1">GetPin_RA8D1_32SD_MIPI</f>
        <v>0</v>
      </c>
      <c r="AK76" cm="1">
        <f t="array" aca="1" ref="AK76" ca="1">GetPin_RA8D1_32SD_MIPI</f>
        <v>0</v>
      </c>
      <c r="AL76" cm="1">
        <f t="array" aca="1" ref="AL76" ca="1">GetPin_RA8D1_32SD_MIPI</f>
        <v>0</v>
      </c>
      <c r="AM76" cm="1">
        <f t="array" aca="1" ref="AM76" ca="1">GetPin_RA8D1_32SD_MIPI</f>
        <v>0</v>
      </c>
      <c r="AN76" cm="1">
        <f t="array" aca="1" ref="AN76" ca="1">GetPin_RA8D1_32SD_MIPI</f>
        <v>0</v>
      </c>
      <c r="AO76" cm="1">
        <f t="array" aca="1" ref="AO76" ca="1">GetPin_RA8D1_32SD_MIPI</f>
        <v>0</v>
      </c>
      <c r="AP76" cm="1">
        <f t="array" aca="1" ref="AP76" ca="1">GetPin_RA8D1_32SD_MIPI</f>
        <v>0</v>
      </c>
      <c r="AQ76" cm="1">
        <f t="array" aca="1" ref="AQ76" ca="1">GetPin_RA8D1_32SD_MIPI</f>
        <v>0</v>
      </c>
      <c r="AR76" cm="1">
        <f t="array" aca="1" ref="AR76" ca="1">GetPin_RA8D1_32SD_MIPI</f>
        <v>0</v>
      </c>
      <c r="AS76" cm="1">
        <f t="array" aca="1" ref="AS76" ca="1">GetPin_RA8D1_32SD_MIPI</f>
        <v>0</v>
      </c>
      <c r="AT76" cm="1">
        <f t="array" aca="1" ref="AT76" ca="1">GetPin_RA8D1_32SD_MIPI</f>
        <v>0</v>
      </c>
      <c r="AU76" cm="1">
        <f t="array" aca="1" ref="AU76" ca="1">GetPin_RA8D1_32SD_MIPI</f>
        <v>0</v>
      </c>
      <c r="AV76" cm="1">
        <f t="array" aca="1" ref="AV76" ca="1">GetPin_RA8D1_32SD_MIPI</f>
        <v>0</v>
      </c>
      <c r="AW76" cm="1">
        <f t="array" aca="1" ref="AW76" ca="1">GetPin_RA8D1_32SD_MIPI</f>
        <v>0</v>
      </c>
      <c r="AX76" cm="1">
        <f t="array" aca="1" ref="AX76" ca="1">GetPin_RA8D1_32SD_MIPI</f>
        <v>0</v>
      </c>
      <c r="AY76" cm="1">
        <f t="array" aca="1" ref="AY76" ca="1">GetPin_RA8D1_32SD_MIPI</f>
        <v>0</v>
      </c>
      <c r="AZ76" cm="1">
        <f t="array" aca="1" ref="AZ76" ca="1">GetPin_RA8D1_32SD_MIPI</f>
        <v>0</v>
      </c>
      <c r="BA76" cm="1">
        <f t="array" aca="1" ref="BA76" ca="1">GetPin_RA8D1_32SD_MIPI</f>
        <v>0</v>
      </c>
      <c r="BB76" cm="1">
        <f t="array" aca="1" ref="BB76" ca="1">GetPin_RA8D1_32SD_MIPI</f>
        <v>0</v>
      </c>
      <c r="BC76" cm="1">
        <f t="array" aca="1" ref="BC76" ca="1">GetPin_RA8D1_32SD_MIPI</f>
        <v>0</v>
      </c>
      <c r="BD76" cm="1">
        <f t="array" aca="1" ref="BD76" ca="1">GetPin_RA8D1_32SD_MIPI</f>
        <v>0</v>
      </c>
      <c r="BG76">
        <v>56</v>
      </c>
    </row>
    <row r="77" spans="17:59" x14ac:dyDescent="0.25">
      <c r="Q77">
        <f>IF(ISBLANK(BoardBTB!Q77),-1,(COUNTIF(U77:BD77,4)*4+IF(COUNTIF(U77:BD77,2),1,0)*2+IF(COUNTIF(U77:BD77,1),1,0)))</f>
        <v>-1</v>
      </c>
      <c r="R77">
        <f>IF(ISBLANK(BoardBTB!R77),-1,(COUNTIF(U77:BD77,4)*4+IF(COUNTIF(U77:BD77,2),1,0)*2+IF(COUNTIF(U77:BD77,1),1,0)))</f>
        <v>-1</v>
      </c>
      <c r="S77">
        <f>IF(ISBLANK(BoardBTB!S77),-1,(COUNTIF(U77:BD77,4)*4+IF(COUNTIF(U77:BD77,2),1,0)*2+IF(COUNTIF(U77:BD77,1),1,0)))</f>
        <v>-1</v>
      </c>
      <c r="T77">
        <f ca="1">IF(ISBLANK(BoardBTB!T77),-1,(COUNTIF(U77:BD77,4)*4+IF(COUNTIF(U77:BD77,2),1,0)*2+IF(COUNTIF(U77:BD77,1),1,0)))</f>
        <v>4</v>
      </c>
      <c r="U77" cm="1">
        <f t="array" aca="1" ref="U77" ca="1">GetPin_RA8D1_32SD_MIPI</f>
        <v>0</v>
      </c>
      <c r="V77" cm="1">
        <f t="array" aca="1" ref="V77" ca="1">GetPin_RA8D1_32SD_MIPI</f>
        <v>0</v>
      </c>
      <c r="W77" cm="1">
        <f t="array" aca="1" ref="W77" ca="1">GetPin_RA8D1_32SD_MIPI</f>
        <v>0</v>
      </c>
      <c r="X77" cm="1">
        <f t="array" aca="1" ref="X77" ca="1">GetPin_RA8D1_32SD_MIPI</f>
        <v>4</v>
      </c>
      <c r="Y77" cm="1">
        <f t="array" aca="1" ref="Y77" ca="1">GetPin_RA8D1_32SD_MIPI</f>
        <v>0</v>
      </c>
      <c r="Z77" cm="1">
        <f t="array" aca="1" ref="Z77" ca="1">GetPin_RA8D1_32SD_MIPI</f>
        <v>0</v>
      </c>
      <c r="AA77" cm="1">
        <f t="array" aca="1" ref="AA77" ca="1">GetPin_RA8D1_32SD_MIPI</f>
        <v>0</v>
      </c>
      <c r="AB77" cm="1">
        <f t="array" aca="1" ref="AB77" ca="1">GetPin_RA8D1_32SD_MIPI</f>
        <v>0</v>
      </c>
      <c r="AC77" cm="1">
        <f t="array" aca="1" ref="AC77" ca="1">GetPin_RA8D1_32SD_MIPI</f>
        <v>0</v>
      </c>
      <c r="AD77" cm="1">
        <f t="array" aca="1" ref="AD77" ca="1">GetPin_RA8D1_32SD_MIPI</f>
        <v>0</v>
      </c>
      <c r="AE77" cm="1">
        <f t="array" aca="1" ref="AE77" ca="1">GetPin_RA8D1_32SD_MIPI</f>
        <v>0</v>
      </c>
      <c r="AF77" cm="1">
        <f t="array" aca="1" ref="AF77" ca="1">GetPin_RA8D1_32SD_MIPI</f>
        <v>0</v>
      </c>
      <c r="AG77" cm="1">
        <f t="array" aca="1" ref="AG77" ca="1">GetPin_RA8D1_32SD_MIPI</f>
        <v>0</v>
      </c>
      <c r="AH77" cm="1">
        <f t="array" aca="1" ref="AH77" ca="1">GetPin_RA8D1_32SD_MIPI</f>
        <v>0</v>
      </c>
      <c r="AI77" cm="1">
        <f t="array" aca="1" ref="AI77" ca="1">GetPin_RA8D1_32SD_MIPI</f>
        <v>0</v>
      </c>
      <c r="AJ77" cm="1">
        <f t="array" aca="1" ref="AJ77" ca="1">GetPin_RA8D1_32SD_MIPI</f>
        <v>0</v>
      </c>
      <c r="AK77" cm="1">
        <f t="array" aca="1" ref="AK77" ca="1">GetPin_RA8D1_32SD_MIPI</f>
        <v>0</v>
      </c>
      <c r="AL77" cm="1">
        <f t="array" aca="1" ref="AL77" ca="1">GetPin_RA8D1_32SD_MIPI</f>
        <v>0</v>
      </c>
      <c r="AM77" cm="1">
        <f t="array" aca="1" ref="AM77" ca="1">GetPin_RA8D1_32SD_MIPI</f>
        <v>0</v>
      </c>
      <c r="AN77" cm="1">
        <f t="array" aca="1" ref="AN77" ca="1">GetPin_RA8D1_32SD_MIPI</f>
        <v>0</v>
      </c>
      <c r="AO77" cm="1">
        <f t="array" aca="1" ref="AO77" ca="1">GetPin_RA8D1_32SD_MIPI</f>
        <v>0</v>
      </c>
      <c r="AP77" cm="1">
        <f t="array" aca="1" ref="AP77" ca="1">GetPin_RA8D1_32SD_MIPI</f>
        <v>0</v>
      </c>
      <c r="AQ77" cm="1">
        <f t="array" aca="1" ref="AQ77" ca="1">GetPin_RA8D1_32SD_MIPI</f>
        <v>0</v>
      </c>
      <c r="AR77" cm="1">
        <f t="array" aca="1" ref="AR77" ca="1">GetPin_RA8D1_32SD_MIPI</f>
        <v>0</v>
      </c>
      <c r="AS77" cm="1">
        <f t="array" aca="1" ref="AS77" ca="1">GetPin_RA8D1_32SD_MIPI</f>
        <v>0</v>
      </c>
      <c r="AT77" cm="1">
        <f t="array" aca="1" ref="AT77" ca="1">GetPin_RA8D1_32SD_MIPI</f>
        <v>0</v>
      </c>
      <c r="AU77" cm="1">
        <f t="array" aca="1" ref="AU77" ca="1">GetPin_RA8D1_32SD_MIPI</f>
        <v>0</v>
      </c>
      <c r="AV77" cm="1">
        <f t="array" aca="1" ref="AV77" ca="1">GetPin_RA8D1_32SD_MIPI</f>
        <v>0</v>
      </c>
      <c r="AW77" cm="1">
        <f t="array" aca="1" ref="AW77" ca="1">GetPin_RA8D1_32SD_MIPI</f>
        <v>0</v>
      </c>
      <c r="AX77" cm="1">
        <f t="array" aca="1" ref="AX77" ca="1">GetPin_RA8D1_32SD_MIPI</f>
        <v>0</v>
      </c>
      <c r="AY77" cm="1">
        <f t="array" aca="1" ref="AY77" ca="1">GetPin_RA8D1_32SD_MIPI</f>
        <v>0</v>
      </c>
      <c r="AZ77" cm="1">
        <f t="array" aca="1" ref="AZ77" ca="1">GetPin_RA8D1_32SD_MIPI</f>
        <v>0</v>
      </c>
      <c r="BA77" cm="1">
        <f t="array" aca="1" ref="BA77" ca="1">GetPin_RA8D1_32SD_MIPI</f>
        <v>0</v>
      </c>
      <c r="BB77" cm="1">
        <f t="array" aca="1" ref="BB77" ca="1">GetPin_RA8D1_32SD_MIPI</f>
        <v>0</v>
      </c>
      <c r="BC77" cm="1">
        <f t="array" aca="1" ref="BC77" ca="1">GetPin_RA8D1_32SD_MIPI</f>
        <v>0</v>
      </c>
      <c r="BD77" cm="1">
        <f t="array" aca="1" ref="BD77" ca="1">GetPin_RA8D1_32SD_MIPI</f>
        <v>0</v>
      </c>
      <c r="BG77">
        <v>57</v>
      </c>
    </row>
    <row r="78" spans="17:59" x14ac:dyDescent="0.25">
      <c r="Q78">
        <f>IF(ISBLANK(BoardBTB!Q78),-1,(COUNTIF(U78:BD78,4)*4+IF(COUNTIF(U78:BD78,2),1,0)*2+IF(COUNTIF(U78:BD78,1),1,0)))</f>
        <v>-1</v>
      </c>
      <c r="R78">
        <f>IF(ISBLANK(BoardBTB!R78),-1,(COUNTIF(U78:BD78,4)*4+IF(COUNTIF(U78:BD78,2),1,0)*2+IF(COUNTIF(U78:BD78,1),1,0)))</f>
        <v>-1</v>
      </c>
      <c r="S78">
        <f>IF(ISBLANK(BoardBTB!S78),-1,(COUNTIF(U78:BD78,4)*4+IF(COUNTIF(U78:BD78,2),1,0)*2+IF(COUNTIF(U78:BD78,1),1,0)))</f>
        <v>-1</v>
      </c>
      <c r="T78">
        <f ca="1">IF(ISBLANK(BoardBTB!T78),-1,(COUNTIF(U78:BD78,4)*4+IF(COUNTIF(U78:BD78,2),1,0)*2+IF(COUNTIF(U78:BD78,1),1,0)))</f>
        <v>4</v>
      </c>
      <c r="U78" cm="1">
        <f t="array" aca="1" ref="U78" ca="1">GetPin_RA8D1_32SD_MIPI</f>
        <v>0</v>
      </c>
      <c r="V78" cm="1">
        <f t="array" aca="1" ref="V78" ca="1">GetPin_RA8D1_32SD_MIPI</f>
        <v>0</v>
      </c>
      <c r="W78" cm="1">
        <f t="array" aca="1" ref="W78" ca="1">GetPin_RA8D1_32SD_MIPI</f>
        <v>0</v>
      </c>
      <c r="X78" cm="1">
        <f t="array" aca="1" ref="X78" ca="1">GetPin_RA8D1_32SD_MIPI</f>
        <v>4</v>
      </c>
      <c r="Y78" cm="1">
        <f t="array" aca="1" ref="Y78" ca="1">GetPin_RA8D1_32SD_MIPI</f>
        <v>0</v>
      </c>
      <c r="Z78" cm="1">
        <f t="array" aca="1" ref="Z78" ca="1">GetPin_RA8D1_32SD_MIPI</f>
        <v>0</v>
      </c>
      <c r="AA78" cm="1">
        <f t="array" aca="1" ref="AA78" ca="1">GetPin_RA8D1_32SD_MIPI</f>
        <v>0</v>
      </c>
      <c r="AB78" cm="1">
        <f t="array" aca="1" ref="AB78" ca="1">GetPin_RA8D1_32SD_MIPI</f>
        <v>0</v>
      </c>
      <c r="AC78" cm="1">
        <f t="array" aca="1" ref="AC78" ca="1">GetPin_RA8D1_32SD_MIPI</f>
        <v>0</v>
      </c>
      <c r="AD78" cm="1">
        <f t="array" aca="1" ref="AD78" ca="1">GetPin_RA8D1_32SD_MIPI</f>
        <v>0</v>
      </c>
      <c r="AE78" cm="1">
        <f t="array" aca="1" ref="AE78" ca="1">GetPin_RA8D1_32SD_MIPI</f>
        <v>0</v>
      </c>
      <c r="AF78" cm="1">
        <f t="array" aca="1" ref="AF78" ca="1">GetPin_RA8D1_32SD_MIPI</f>
        <v>0</v>
      </c>
      <c r="AG78" cm="1">
        <f t="array" aca="1" ref="AG78" ca="1">GetPin_RA8D1_32SD_MIPI</f>
        <v>0</v>
      </c>
      <c r="AH78" cm="1">
        <f t="array" aca="1" ref="AH78" ca="1">GetPin_RA8D1_32SD_MIPI</f>
        <v>0</v>
      </c>
      <c r="AI78" cm="1">
        <f t="array" aca="1" ref="AI78" ca="1">GetPin_RA8D1_32SD_MIPI</f>
        <v>0</v>
      </c>
      <c r="AJ78" cm="1">
        <f t="array" aca="1" ref="AJ78" ca="1">GetPin_RA8D1_32SD_MIPI</f>
        <v>0</v>
      </c>
      <c r="AK78" cm="1">
        <f t="array" aca="1" ref="AK78" ca="1">GetPin_RA8D1_32SD_MIPI</f>
        <v>0</v>
      </c>
      <c r="AL78" cm="1">
        <f t="array" aca="1" ref="AL78" ca="1">GetPin_RA8D1_32SD_MIPI</f>
        <v>0</v>
      </c>
      <c r="AM78" cm="1">
        <f t="array" aca="1" ref="AM78" ca="1">GetPin_RA8D1_32SD_MIPI</f>
        <v>0</v>
      </c>
      <c r="AN78" cm="1">
        <f t="array" aca="1" ref="AN78" ca="1">GetPin_RA8D1_32SD_MIPI</f>
        <v>0</v>
      </c>
      <c r="AO78" cm="1">
        <f t="array" aca="1" ref="AO78" ca="1">GetPin_RA8D1_32SD_MIPI</f>
        <v>0</v>
      </c>
      <c r="AP78" cm="1">
        <f t="array" aca="1" ref="AP78" ca="1">GetPin_RA8D1_32SD_MIPI</f>
        <v>0</v>
      </c>
      <c r="AQ78" cm="1">
        <f t="array" aca="1" ref="AQ78" ca="1">GetPin_RA8D1_32SD_MIPI</f>
        <v>0</v>
      </c>
      <c r="AR78" cm="1">
        <f t="array" aca="1" ref="AR78" ca="1">GetPin_RA8D1_32SD_MIPI</f>
        <v>0</v>
      </c>
      <c r="AS78" cm="1">
        <f t="array" aca="1" ref="AS78" ca="1">GetPin_RA8D1_32SD_MIPI</f>
        <v>0</v>
      </c>
      <c r="AT78" cm="1">
        <f t="array" aca="1" ref="AT78" ca="1">GetPin_RA8D1_32SD_MIPI</f>
        <v>0</v>
      </c>
      <c r="AU78" cm="1">
        <f t="array" aca="1" ref="AU78" ca="1">GetPin_RA8D1_32SD_MIPI</f>
        <v>0</v>
      </c>
      <c r="AV78" cm="1">
        <f t="array" aca="1" ref="AV78" ca="1">GetPin_RA8D1_32SD_MIPI</f>
        <v>0</v>
      </c>
      <c r="AW78" cm="1">
        <f t="array" aca="1" ref="AW78" ca="1">GetPin_RA8D1_32SD_MIPI</f>
        <v>0</v>
      </c>
      <c r="AX78" cm="1">
        <f t="array" aca="1" ref="AX78" ca="1">GetPin_RA8D1_32SD_MIPI</f>
        <v>0</v>
      </c>
      <c r="AY78" cm="1">
        <f t="array" aca="1" ref="AY78" ca="1">GetPin_RA8D1_32SD_MIPI</f>
        <v>0</v>
      </c>
      <c r="AZ78" cm="1">
        <f t="array" aca="1" ref="AZ78" ca="1">GetPin_RA8D1_32SD_MIPI</f>
        <v>0</v>
      </c>
      <c r="BA78" cm="1">
        <f t="array" aca="1" ref="BA78" ca="1">GetPin_RA8D1_32SD_MIPI</f>
        <v>0</v>
      </c>
      <c r="BB78" cm="1">
        <f t="array" aca="1" ref="BB78" ca="1">GetPin_RA8D1_32SD_MIPI</f>
        <v>0</v>
      </c>
      <c r="BC78" cm="1">
        <f t="array" aca="1" ref="BC78" ca="1">GetPin_RA8D1_32SD_MIPI</f>
        <v>0</v>
      </c>
      <c r="BD78" cm="1">
        <f t="array" aca="1" ref="BD78" ca="1">GetPin_RA8D1_32SD_MIPI</f>
        <v>0</v>
      </c>
      <c r="BG78">
        <v>58</v>
      </c>
    </row>
    <row r="79" spans="17:59" x14ac:dyDescent="0.25">
      <c r="Q79">
        <f>IF(ISBLANK(BoardBTB!Q79),-1,(COUNTIF(U79:BD79,4)*4+IF(COUNTIF(U79:BD79,2),1,0)*2+IF(COUNTIF(U79:BD79,1),1,0)))</f>
        <v>-1</v>
      </c>
      <c r="R79">
        <f>IF(ISBLANK(BoardBTB!R79),-1,(COUNTIF(U79:BD79,4)*4+IF(COUNTIF(U79:BD79,2),1,0)*2+IF(COUNTIF(U79:BD79,1),1,0)))</f>
        <v>-1</v>
      </c>
      <c r="S79">
        <f>IF(ISBLANK(BoardBTB!S79),-1,(COUNTIF(U79:BD79,4)*4+IF(COUNTIF(U79:BD79,2),1,0)*2+IF(COUNTIF(U79:BD79,1),1,0)))</f>
        <v>-1</v>
      </c>
      <c r="T79">
        <f ca="1">IF(ISBLANK(BoardBTB!T79),-1,(COUNTIF(U79:BD79,4)*4+IF(COUNTIF(U79:BD79,2),1,0)*2+IF(COUNTIF(U79:BD79,1),1,0)))</f>
        <v>2</v>
      </c>
      <c r="U79" cm="1">
        <f t="array" aca="1" ref="U79" ca="1">GetPin_RA8D1_32SD_MIPI</f>
        <v>0</v>
      </c>
      <c r="V79" cm="1">
        <f t="array" aca="1" ref="V79" ca="1">GetPin_RA8D1_32SD_MIPI</f>
        <v>0</v>
      </c>
      <c r="W79" cm="1">
        <f t="array" aca="1" ref="W79" ca="1">GetPin_RA8D1_32SD_MIPI</f>
        <v>0</v>
      </c>
      <c r="X79" cm="1">
        <f t="array" aca="1" ref="X79" ca="1">GetPin_RA8D1_32SD_MIPI</f>
        <v>0</v>
      </c>
      <c r="Y79" cm="1">
        <f t="array" aca="1" ref="Y79" ca="1">GetPin_RA8D1_32SD_MIPI</f>
        <v>0</v>
      </c>
      <c r="Z79" cm="1">
        <f t="array" aca="1" ref="Z79" ca="1">GetPin_RA8D1_32SD_MIPI</f>
        <v>0</v>
      </c>
      <c r="AA79" cm="1">
        <f t="array" aca="1" ref="AA79" ca="1">GetPin_RA8D1_32SD_MIPI</f>
        <v>0</v>
      </c>
      <c r="AB79" cm="1">
        <f t="array" aca="1" ref="AB79" ca="1">GetPin_RA8D1_32SD_MIPI</f>
        <v>0</v>
      </c>
      <c r="AC79" cm="1">
        <f t="array" aca="1" ref="AC79" ca="1">GetPin_RA8D1_32SD_MIPI</f>
        <v>0</v>
      </c>
      <c r="AD79" cm="1">
        <f t="array" aca="1" ref="AD79" ca="1">GetPin_RA8D1_32SD_MIPI</f>
        <v>0</v>
      </c>
      <c r="AE79" cm="1">
        <f t="array" aca="1" ref="AE79" ca="1">GetPin_RA8D1_32SD_MIPI</f>
        <v>0</v>
      </c>
      <c r="AF79" cm="1">
        <f t="array" aca="1" ref="AF79" ca="1">GetPin_RA8D1_32SD_MIPI</f>
        <v>0</v>
      </c>
      <c r="AG79" cm="1">
        <f t="array" aca="1" ref="AG79" ca="1">GetPin_RA8D1_32SD_MIPI</f>
        <v>0</v>
      </c>
      <c r="AH79" cm="1">
        <f t="array" aca="1" ref="AH79" ca="1">GetPin_RA8D1_32SD_MIPI</f>
        <v>2</v>
      </c>
      <c r="AI79" cm="1">
        <f t="array" aca="1" ref="AI79" ca="1">GetPin_RA8D1_32SD_MIPI</f>
        <v>0</v>
      </c>
      <c r="AJ79" cm="1">
        <f t="array" aca="1" ref="AJ79" ca="1">GetPin_RA8D1_32SD_MIPI</f>
        <v>0</v>
      </c>
      <c r="AK79" cm="1">
        <f t="array" aca="1" ref="AK79" ca="1">GetPin_RA8D1_32SD_MIPI</f>
        <v>0</v>
      </c>
      <c r="AL79" cm="1">
        <f t="array" aca="1" ref="AL79" ca="1">GetPin_RA8D1_32SD_MIPI</f>
        <v>0</v>
      </c>
      <c r="AM79" cm="1">
        <f t="array" aca="1" ref="AM79" ca="1">GetPin_RA8D1_32SD_MIPI</f>
        <v>0</v>
      </c>
      <c r="AN79" cm="1">
        <f t="array" aca="1" ref="AN79" ca="1">GetPin_RA8D1_32SD_MIPI</f>
        <v>0</v>
      </c>
      <c r="AO79" cm="1">
        <f t="array" aca="1" ref="AO79" ca="1">GetPin_RA8D1_32SD_MIPI</f>
        <v>0</v>
      </c>
      <c r="AP79" cm="1">
        <f t="array" aca="1" ref="AP79" ca="1">GetPin_RA8D1_32SD_MIPI</f>
        <v>0</v>
      </c>
      <c r="AQ79" cm="1">
        <f t="array" aca="1" ref="AQ79" ca="1">GetPin_RA8D1_32SD_MIPI</f>
        <v>0</v>
      </c>
      <c r="AR79" cm="1">
        <f t="array" aca="1" ref="AR79" ca="1">GetPin_RA8D1_32SD_MIPI</f>
        <v>0</v>
      </c>
      <c r="AS79" cm="1">
        <f t="array" aca="1" ref="AS79" ca="1">GetPin_RA8D1_32SD_MIPI</f>
        <v>0</v>
      </c>
      <c r="AT79" cm="1">
        <f t="array" aca="1" ref="AT79" ca="1">GetPin_RA8D1_32SD_MIPI</f>
        <v>0</v>
      </c>
      <c r="AU79" cm="1">
        <f t="array" aca="1" ref="AU79" ca="1">GetPin_RA8D1_32SD_MIPI</f>
        <v>0</v>
      </c>
      <c r="AV79" cm="1">
        <f t="array" aca="1" ref="AV79" ca="1">GetPin_RA8D1_32SD_MIPI</f>
        <v>0</v>
      </c>
      <c r="AW79" cm="1">
        <f t="array" aca="1" ref="AW79" ca="1">GetPin_RA8D1_32SD_MIPI</f>
        <v>0</v>
      </c>
      <c r="AX79" cm="1">
        <f t="array" aca="1" ref="AX79" ca="1">GetPin_RA8D1_32SD_MIPI</f>
        <v>0</v>
      </c>
      <c r="AY79" cm="1">
        <f t="array" aca="1" ref="AY79" ca="1">GetPin_RA8D1_32SD_MIPI</f>
        <v>0</v>
      </c>
      <c r="AZ79" cm="1">
        <f t="array" aca="1" ref="AZ79" ca="1">GetPin_RA8D1_32SD_MIPI</f>
        <v>0</v>
      </c>
      <c r="BA79" cm="1">
        <f t="array" aca="1" ref="BA79" ca="1">GetPin_RA8D1_32SD_MIPI</f>
        <v>0</v>
      </c>
      <c r="BB79" cm="1">
        <f t="array" aca="1" ref="BB79" ca="1">GetPin_RA8D1_32SD_MIPI</f>
        <v>0</v>
      </c>
      <c r="BC79" cm="1">
        <f t="array" aca="1" ref="BC79" ca="1">GetPin_RA8D1_32SD_MIPI</f>
        <v>0</v>
      </c>
      <c r="BD79" cm="1">
        <f t="array" aca="1" ref="BD79" ca="1">GetPin_RA8D1_32SD_MIPI</f>
        <v>0</v>
      </c>
      <c r="BG79">
        <v>59</v>
      </c>
    </row>
    <row r="80" spans="17:59" x14ac:dyDescent="0.25">
      <c r="Q80">
        <f>IF(ISBLANK(BoardBTB!Q80),-1,(COUNTIF(U80:BD80,4)*4+IF(COUNTIF(U80:BD80,2),1,0)*2+IF(COUNTIF(U80:BD80,1),1,0)))</f>
        <v>-1</v>
      </c>
      <c r="R80">
        <f>IF(ISBLANK(BoardBTB!R80),-1,(COUNTIF(U80:BD80,4)*4+IF(COUNTIF(U80:BD80,2),1,0)*2+IF(COUNTIF(U80:BD80,1),1,0)))</f>
        <v>-1</v>
      </c>
      <c r="S80">
        <f>IF(ISBLANK(BoardBTB!S80),-1,(COUNTIF(U80:BD80,4)*4+IF(COUNTIF(U80:BD80,2),1,0)*2+IF(COUNTIF(U80:BD80,1),1,0)))</f>
        <v>-1</v>
      </c>
      <c r="T80">
        <f ca="1">IF(ISBLANK(BoardBTB!T80),-1,(COUNTIF(U80:BD80,4)*4+IF(COUNTIF(U80:BD80,2),1,0)*2+IF(COUNTIF(U80:BD80,1),1,0)))</f>
        <v>2</v>
      </c>
      <c r="U80" cm="1">
        <f t="array" aca="1" ref="U80" ca="1">GetPin_RA8D1_32SD_MIPI</f>
        <v>0</v>
      </c>
      <c r="V80" cm="1">
        <f t="array" aca="1" ref="V80" ca="1">GetPin_RA8D1_32SD_MIPI</f>
        <v>0</v>
      </c>
      <c r="W80" cm="1">
        <f t="array" aca="1" ref="W80" ca="1">GetPin_RA8D1_32SD_MIPI</f>
        <v>0</v>
      </c>
      <c r="X80" cm="1">
        <f t="array" aca="1" ref="X80" ca="1">GetPin_RA8D1_32SD_MIPI</f>
        <v>0</v>
      </c>
      <c r="Y80" cm="1">
        <f t="array" aca="1" ref="Y80" ca="1">GetPin_RA8D1_32SD_MIPI</f>
        <v>0</v>
      </c>
      <c r="Z80" cm="1">
        <f t="array" aca="1" ref="Z80" ca="1">GetPin_RA8D1_32SD_MIPI</f>
        <v>0</v>
      </c>
      <c r="AA80" cm="1">
        <f t="array" aca="1" ref="AA80" ca="1">GetPin_RA8D1_32SD_MIPI</f>
        <v>0</v>
      </c>
      <c r="AB80" cm="1">
        <f t="array" aca="1" ref="AB80" ca="1">GetPin_RA8D1_32SD_MIPI</f>
        <v>0</v>
      </c>
      <c r="AC80" cm="1">
        <f t="array" aca="1" ref="AC80" ca="1">GetPin_RA8D1_32SD_MIPI</f>
        <v>0</v>
      </c>
      <c r="AD80" cm="1">
        <f t="array" aca="1" ref="AD80" ca="1">GetPin_RA8D1_32SD_MIPI</f>
        <v>0</v>
      </c>
      <c r="AE80" cm="1">
        <f t="array" aca="1" ref="AE80" ca="1">GetPin_RA8D1_32SD_MIPI</f>
        <v>0</v>
      </c>
      <c r="AF80" cm="1">
        <f t="array" aca="1" ref="AF80" ca="1">GetPin_RA8D1_32SD_MIPI</f>
        <v>0</v>
      </c>
      <c r="AG80" cm="1">
        <f t="array" aca="1" ref="AG80" ca="1">GetPin_RA8D1_32SD_MIPI</f>
        <v>0</v>
      </c>
      <c r="AH80" cm="1">
        <f t="array" aca="1" ref="AH80" ca="1">GetPin_RA8D1_32SD_MIPI</f>
        <v>2</v>
      </c>
      <c r="AI80" cm="1">
        <f t="array" aca="1" ref="AI80" ca="1">GetPin_RA8D1_32SD_MIPI</f>
        <v>0</v>
      </c>
      <c r="AJ80" cm="1">
        <f t="array" aca="1" ref="AJ80" ca="1">GetPin_RA8D1_32SD_MIPI</f>
        <v>0</v>
      </c>
      <c r="AK80" cm="1">
        <f t="array" aca="1" ref="AK80" ca="1">GetPin_RA8D1_32SD_MIPI</f>
        <v>0</v>
      </c>
      <c r="AL80" cm="1">
        <f t="array" aca="1" ref="AL80" ca="1">GetPin_RA8D1_32SD_MIPI</f>
        <v>0</v>
      </c>
      <c r="AM80" cm="1">
        <f t="array" aca="1" ref="AM80" ca="1">GetPin_RA8D1_32SD_MIPI</f>
        <v>0</v>
      </c>
      <c r="AN80" cm="1">
        <f t="array" aca="1" ref="AN80" ca="1">GetPin_RA8D1_32SD_MIPI</f>
        <v>0</v>
      </c>
      <c r="AO80" cm="1">
        <f t="array" aca="1" ref="AO80" ca="1">GetPin_RA8D1_32SD_MIPI</f>
        <v>0</v>
      </c>
      <c r="AP80" cm="1">
        <f t="array" aca="1" ref="AP80" ca="1">GetPin_RA8D1_32SD_MIPI</f>
        <v>0</v>
      </c>
      <c r="AQ80" cm="1">
        <f t="array" aca="1" ref="AQ80" ca="1">GetPin_RA8D1_32SD_MIPI</f>
        <v>0</v>
      </c>
      <c r="AR80" cm="1">
        <f t="array" aca="1" ref="AR80" ca="1">GetPin_RA8D1_32SD_MIPI</f>
        <v>0</v>
      </c>
      <c r="AS80" cm="1">
        <f t="array" aca="1" ref="AS80" ca="1">GetPin_RA8D1_32SD_MIPI</f>
        <v>0</v>
      </c>
      <c r="AT80" cm="1">
        <f t="array" aca="1" ref="AT80" ca="1">GetPin_RA8D1_32SD_MIPI</f>
        <v>0</v>
      </c>
      <c r="AU80" cm="1">
        <f t="array" aca="1" ref="AU80" ca="1">GetPin_RA8D1_32SD_MIPI</f>
        <v>0</v>
      </c>
      <c r="AV80" cm="1">
        <f t="array" aca="1" ref="AV80" ca="1">GetPin_RA8D1_32SD_MIPI</f>
        <v>0</v>
      </c>
      <c r="AW80" cm="1">
        <f t="array" aca="1" ref="AW80" ca="1">GetPin_RA8D1_32SD_MIPI</f>
        <v>0</v>
      </c>
      <c r="AX80" cm="1">
        <f t="array" aca="1" ref="AX80" ca="1">GetPin_RA8D1_32SD_MIPI</f>
        <v>0</v>
      </c>
      <c r="AY80" cm="1">
        <f t="array" aca="1" ref="AY80" ca="1">GetPin_RA8D1_32SD_MIPI</f>
        <v>0</v>
      </c>
      <c r="AZ80" cm="1">
        <f t="array" aca="1" ref="AZ80" ca="1">GetPin_RA8D1_32SD_MIPI</f>
        <v>0</v>
      </c>
      <c r="BA80" cm="1">
        <f t="array" aca="1" ref="BA80" ca="1">GetPin_RA8D1_32SD_MIPI</f>
        <v>0</v>
      </c>
      <c r="BB80" cm="1">
        <f t="array" aca="1" ref="BB80" ca="1">GetPin_RA8D1_32SD_MIPI</f>
        <v>0</v>
      </c>
      <c r="BC80" cm="1">
        <f t="array" aca="1" ref="BC80" ca="1">GetPin_RA8D1_32SD_MIPI</f>
        <v>0</v>
      </c>
      <c r="BD80" cm="1">
        <f t="array" aca="1" ref="BD80" ca="1">GetPin_RA8D1_32SD_MIPI</f>
        <v>0</v>
      </c>
      <c r="BG80">
        <v>60</v>
      </c>
    </row>
    <row r="81" spans="17:59" x14ac:dyDescent="0.25">
      <c r="Q81">
        <f>IF(ISBLANK(BoardBTB!Q81),-1,(COUNTIF(U81:BD81,4)*4+IF(COUNTIF(U81:BD81,2),1,0)*2+IF(COUNTIF(U81:BD81,1),1,0)))</f>
        <v>-1</v>
      </c>
      <c r="R81">
        <f>IF(ISBLANK(BoardBTB!R81),-1,(COUNTIF(U81:BD81,4)*4+IF(COUNTIF(U81:BD81,2),1,0)*2+IF(COUNTIF(U81:BD81,1),1,0)))</f>
        <v>-1</v>
      </c>
      <c r="S81">
        <f>IF(ISBLANK(BoardBTB!S81),-1,(COUNTIF(U81:BD81,4)*4+IF(COUNTIF(U81:BD81,2),1,0)*2+IF(COUNTIF(U81:BD81,1),1,0)))</f>
        <v>-1</v>
      </c>
      <c r="T81">
        <f ca="1">IF(ISBLANK(BoardBTB!T81),-1,(COUNTIF(U81:BD81,4)*4+IF(COUNTIF(U81:BD81,2),1,0)*2+IF(COUNTIF(U81:BD81,1),1,0)))</f>
        <v>0</v>
      </c>
      <c r="U81" cm="1">
        <f t="array" aca="1" ref="U81" ca="1">GetPin_RA8D1_32SD_MIPI</f>
        <v>0</v>
      </c>
      <c r="V81" cm="1">
        <f t="array" aca="1" ref="V81" ca="1">GetPin_RA8D1_32SD_MIPI</f>
        <v>0</v>
      </c>
      <c r="W81" cm="1">
        <f t="array" aca="1" ref="W81" ca="1">GetPin_RA8D1_32SD_MIPI</f>
        <v>0</v>
      </c>
      <c r="X81" cm="1">
        <f t="array" aca="1" ref="X81" ca="1">GetPin_RA8D1_32SD_MIPI</f>
        <v>0</v>
      </c>
      <c r="Y81" cm="1">
        <f t="array" aca="1" ref="Y81" ca="1">GetPin_RA8D1_32SD_MIPI</f>
        <v>0</v>
      </c>
      <c r="Z81" cm="1">
        <f t="array" aca="1" ref="Z81" ca="1">GetPin_RA8D1_32SD_MIPI</f>
        <v>0</v>
      </c>
      <c r="AA81" cm="1">
        <f t="array" aca="1" ref="AA81" ca="1">GetPin_RA8D1_32SD_MIPI</f>
        <v>0</v>
      </c>
      <c r="AB81" cm="1">
        <f t="array" aca="1" ref="AB81" ca="1">GetPin_RA8D1_32SD_MIPI</f>
        <v>0</v>
      </c>
      <c r="AC81" cm="1">
        <f t="array" aca="1" ref="AC81" ca="1">GetPin_RA8D1_32SD_MIPI</f>
        <v>0</v>
      </c>
      <c r="AD81" cm="1">
        <f t="array" aca="1" ref="AD81" ca="1">GetPin_RA8D1_32SD_MIPI</f>
        <v>0</v>
      </c>
      <c r="AE81" cm="1">
        <f t="array" aca="1" ref="AE81" ca="1">GetPin_RA8D1_32SD_MIPI</f>
        <v>0</v>
      </c>
      <c r="AF81" cm="1">
        <f t="array" aca="1" ref="AF81" ca="1">GetPin_RA8D1_32SD_MIPI</f>
        <v>0</v>
      </c>
      <c r="AG81" cm="1">
        <f t="array" aca="1" ref="AG81" ca="1">GetPin_RA8D1_32SD_MIPI</f>
        <v>0</v>
      </c>
      <c r="AH81" cm="1">
        <f t="array" aca="1" ref="AH81" ca="1">GetPin_RA8D1_32SD_MIPI</f>
        <v>0</v>
      </c>
      <c r="AI81" cm="1">
        <f t="array" aca="1" ref="AI81" ca="1">GetPin_RA8D1_32SD_MIPI</f>
        <v>0</v>
      </c>
      <c r="AJ81" cm="1">
        <f t="array" aca="1" ref="AJ81" ca="1">GetPin_RA8D1_32SD_MIPI</f>
        <v>0</v>
      </c>
      <c r="AK81" cm="1">
        <f t="array" aca="1" ref="AK81" ca="1">GetPin_RA8D1_32SD_MIPI</f>
        <v>0</v>
      </c>
      <c r="AL81" cm="1">
        <f t="array" aca="1" ref="AL81" ca="1">GetPin_RA8D1_32SD_MIPI</f>
        <v>0</v>
      </c>
      <c r="AM81" cm="1">
        <f t="array" aca="1" ref="AM81" ca="1">GetPin_RA8D1_32SD_MIPI</f>
        <v>0</v>
      </c>
      <c r="AN81" cm="1">
        <f t="array" aca="1" ref="AN81" ca="1">GetPin_RA8D1_32SD_MIPI</f>
        <v>0</v>
      </c>
      <c r="AO81" cm="1">
        <f t="array" aca="1" ref="AO81" ca="1">GetPin_RA8D1_32SD_MIPI</f>
        <v>0</v>
      </c>
      <c r="AP81" cm="1">
        <f t="array" aca="1" ref="AP81" ca="1">GetPin_RA8D1_32SD_MIPI</f>
        <v>0</v>
      </c>
      <c r="AQ81" cm="1">
        <f t="array" aca="1" ref="AQ81" ca="1">GetPin_RA8D1_32SD_MIPI</f>
        <v>0</v>
      </c>
      <c r="AR81" cm="1">
        <f t="array" aca="1" ref="AR81" ca="1">GetPin_RA8D1_32SD_MIPI</f>
        <v>0</v>
      </c>
      <c r="AS81" cm="1">
        <f t="array" aca="1" ref="AS81" ca="1">GetPin_RA8D1_32SD_MIPI</f>
        <v>0</v>
      </c>
      <c r="AT81" cm="1">
        <f t="array" aca="1" ref="AT81" ca="1">GetPin_RA8D1_32SD_MIPI</f>
        <v>0</v>
      </c>
      <c r="AU81" cm="1">
        <f t="array" aca="1" ref="AU81" ca="1">GetPin_RA8D1_32SD_MIPI</f>
        <v>0</v>
      </c>
      <c r="AV81" cm="1">
        <f t="array" aca="1" ref="AV81" ca="1">GetPin_RA8D1_32SD_MIPI</f>
        <v>0</v>
      </c>
      <c r="AW81" cm="1">
        <f t="array" aca="1" ref="AW81" ca="1">GetPin_RA8D1_32SD_MIPI</f>
        <v>0</v>
      </c>
      <c r="AX81" cm="1">
        <f t="array" aca="1" ref="AX81" ca="1">GetPin_RA8D1_32SD_MIPI</f>
        <v>0</v>
      </c>
      <c r="AY81" cm="1">
        <f t="array" aca="1" ref="AY81" ca="1">GetPin_RA8D1_32SD_MIPI</f>
        <v>0</v>
      </c>
      <c r="AZ81" cm="1">
        <f t="array" aca="1" ref="AZ81" ca="1">GetPin_RA8D1_32SD_MIPI</f>
        <v>0</v>
      </c>
      <c r="BA81" cm="1">
        <f t="array" aca="1" ref="BA81" ca="1">GetPin_RA8D1_32SD_MIPI</f>
        <v>0</v>
      </c>
      <c r="BB81" cm="1">
        <f t="array" aca="1" ref="BB81" ca="1">GetPin_RA8D1_32SD_MIPI</f>
        <v>0</v>
      </c>
      <c r="BC81" cm="1">
        <f t="array" aca="1" ref="BC81" ca="1">GetPin_RA8D1_32SD_MIPI</f>
        <v>0</v>
      </c>
      <c r="BD81" cm="1">
        <f t="array" aca="1" ref="BD81" ca="1">GetPin_RA8D1_32SD_MIPI</f>
        <v>0</v>
      </c>
      <c r="BG81">
        <v>61</v>
      </c>
    </row>
    <row r="82" spans="17:59" x14ac:dyDescent="0.25">
      <c r="Q82">
        <f>IF(ISBLANK(BoardBTB!Q82),-1,(COUNTIF(U82:BD82,4)*4+IF(COUNTIF(U82:BD82,2),1,0)*2+IF(COUNTIF(U82:BD82,1),1,0)))</f>
        <v>-1</v>
      </c>
      <c r="R82">
        <f>IF(ISBLANK(BoardBTB!R82),-1,(COUNTIF(U82:BD82,4)*4+IF(COUNTIF(U82:BD82,2),1,0)*2+IF(COUNTIF(U82:BD82,1),1,0)))</f>
        <v>-1</v>
      </c>
      <c r="S82">
        <f>IF(ISBLANK(BoardBTB!S82),-1,(COUNTIF(U82:BD82,4)*4+IF(COUNTIF(U82:BD82,2),1,0)*2+IF(COUNTIF(U82:BD82,1),1,0)))</f>
        <v>-1</v>
      </c>
      <c r="T82">
        <f ca="1">IF(ISBLANK(BoardBTB!T82),-1,(COUNTIF(U82:BD82,4)*4+IF(COUNTIF(U82:BD82,2),1,0)*2+IF(COUNTIF(U82:BD82,1),1,0)))</f>
        <v>4</v>
      </c>
      <c r="U82" cm="1">
        <f t="array" aca="1" ref="U82" ca="1">GetPin_RA8D1_32SD_MIPI</f>
        <v>0</v>
      </c>
      <c r="V82" cm="1">
        <f t="array" aca="1" ref="V82" ca="1">GetPin_RA8D1_32SD_MIPI</f>
        <v>0</v>
      </c>
      <c r="W82" cm="1">
        <f t="array" aca="1" ref="W82" ca="1">GetPin_RA8D1_32SD_MIPI</f>
        <v>0</v>
      </c>
      <c r="X82" cm="1">
        <f t="array" aca="1" ref="X82" ca="1">GetPin_RA8D1_32SD_MIPI</f>
        <v>0</v>
      </c>
      <c r="Y82" cm="1">
        <f t="array" aca="1" ref="Y82" ca="1">GetPin_RA8D1_32SD_MIPI</f>
        <v>4</v>
      </c>
      <c r="Z82" cm="1">
        <f t="array" aca="1" ref="Z82" ca="1">GetPin_RA8D1_32SD_MIPI</f>
        <v>0</v>
      </c>
      <c r="AA82" cm="1">
        <f t="array" aca="1" ref="AA82" ca="1">GetPin_RA8D1_32SD_MIPI</f>
        <v>0</v>
      </c>
      <c r="AB82" cm="1">
        <f t="array" aca="1" ref="AB82" ca="1">GetPin_RA8D1_32SD_MIPI</f>
        <v>0</v>
      </c>
      <c r="AC82" cm="1">
        <f t="array" aca="1" ref="AC82" ca="1">GetPin_RA8D1_32SD_MIPI</f>
        <v>0</v>
      </c>
      <c r="AD82" cm="1">
        <f t="array" aca="1" ref="AD82" ca="1">GetPin_RA8D1_32SD_MIPI</f>
        <v>0</v>
      </c>
      <c r="AE82" cm="1">
        <f t="array" aca="1" ref="AE82" ca="1">GetPin_RA8D1_32SD_MIPI</f>
        <v>0</v>
      </c>
      <c r="AF82" cm="1">
        <f t="array" aca="1" ref="AF82" ca="1">GetPin_RA8D1_32SD_MIPI</f>
        <v>0</v>
      </c>
      <c r="AG82" cm="1">
        <f t="array" aca="1" ref="AG82" ca="1">GetPin_RA8D1_32SD_MIPI</f>
        <v>0</v>
      </c>
      <c r="AH82" cm="1">
        <f t="array" aca="1" ref="AH82" ca="1">GetPin_RA8D1_32SD_MIPI</f>
        <v>0</v>
      </c>
      <c r="AI82" cm="1">
        <f t="array" aca="1" ref="AI82" ca="1">GetPin_RA8D1_32SD_MIPI</f>
        <v>0</v>
      </c>
      <c r="AJ82" cm="1">
        <f t="array" aca="1" ref="AJ82" ca="1">GetPin_RA8D1_32SD_MIPI</f>
        <v>0</v>
      </c>
      <c r="AK82" cm="1">
        <f t="array" aca="1" ref="AK82" ca="1">GetPin_RA8D1_32SD_MIPI</f>
        <v>0</v>
      </c>
      <c r="AL82" cm="1">
        <f t="array" aca="1" ref="AL82" ca="1">GetPin_RA8D1_32SD_MIPI</f>
        <v>0</v>
      </c>
      <c r="AM82" cm="1">
        <f t="array" aca="1" ref="AM82" ca="1">GetPin_RA8D1_32SD_MIPI</f>
        <v>0</v>
      </c>
      <c r="AN82" cm="1">
        <f t="array" aca="1" ref="AN82" ca="1">GetPin_RA8D1_32SD_MIPI</f>
        <v>0</v>
      </c>
      <c r="AO82" cm="1">
        <f t="array" aca="1" ref="AO82" ca="1">GetPin_RA8D1_32SD_MIPI</f>
        <v>0</v>
      </c>
      <c r="AP82" cm="1">
        <f t="array" aca="1" ref="AP82" ca="1">GetPin_RA8D1_32SD_MIPI</f>
        <v>0</v>
      </c>
      <c r="AQ82" cm="1">
        <f t="array" aca="1" ref="AQ82" ca="1">GetPin_RA8D1_32SD_MIPI</f>
        <v>0</v>
      </c>
      <c r="AR82" cm="1">
        <f t="array" aca="1" ref="AR82" ca="1">GetPin_RA8D1_32SD_MIPI</f>
        <v>0</v>
      </c>
      <c r="AS82" cm="1">
        <f t="array" aca="1" ref="AS82" ca="1">GetPin_RA8D1_32SD_MIPI</f>
        <v>0</v>
      </c>
      <c r="AT82" cm="1">
        <f t="array" aca="1" ref="AT82" ca="1">GetPin_RA8D1_32SD_MIPI</f>
        <v>0</v>
      </c>
      <c r="AU82" cm="1">
        <f t="array" aca="1" ref="AU82" ca="1">GetPin_RA8D1_32SD_MIPI</f>
        <v>0</v>
      </c>
      <c r="AV82" cm="1">
        <f t="array" aca="1" ref="AV82" ca="1">GetPin_RA8D1_32SD_MIPI</f>
        <v>0</v>
      </c>
      <c r="AW82" cm="1">
        <f t="array" aca="1" ref="AW82" ca="1">GetPin_RA8D1_32SD_MIPI</f>
        <v>0</v>
      </c>
      <c r="AX82" cm="1">
        <f t="array" aca="1" ref="AX82" ca="1">GetPin_RA8D1_32SD_MIPI</f>
        <v>0</v>
      </c>
      <c r="AY82" cm="1">
        <f t="array" aca="1" ref="AY82" ca="1">GetPin_RA8D1_32SD_MIPI</f>
        <v>0</v>
      </c>
      <c r="AZ82" cm="1">
        <f t="array" aca="1" ref="AZ82" ca="1">GetPin_RA8D1_32SD_MIPI</f>
        <v>0</v>
      </c>
      <c r="BA82" cm="1">
        <f t="array" aca="1" ref="BA82" ca="1">GetPin_RA8D1_32SD_MIPI</f>
        <v>0</v>
      </c>
      <c r="BB82" cm="1">
        <f t="array" aca="1" ref="BB82" ca="1">GetPin_RA8D1_32SD_MIPI</f>
        <v>0</v>
      </c>
      <c r="BC82" cm="1">
        <f t="array" aca="1" ref="BC82" ca="1">GetPin_RA8D1_32SD_MIPI</f>
        <v>0</v>
      </c>
      <c r="BD82" cm="1">
        <f t="array" aca="1" ref="BD82" ca="1">GetPin_RA8D1_32SD_MIPI</f>
        <v>0</v>
      </c>
      <c r="BG82">
        <v>62</v>
      </c>
    </row>
    <row r="83" spans="17:59" x14ac:dyDescent="0.25">
      <c r="Q83">
        <f>IF(ISBLANK(BoardBTB!Q83),-1,(COUNTIF(U83:BD83,4)*4+IF(COUNTIF(U83:BD83,2),1,0)*2+IF(COUNTIF(U83:BD83,1),1,0)))</f>
        <v>-1</v>
      </c>
      <c r="R83">
        <f>IF(ISBLANK(BoardBTB!R83),-1,(COUNTIF(U83:BD83,4)*4+IF(COUNTIF(U83:BD83,2),1,0)*2+IF(COUNTIF(U83:BD83,1),1,0)))</f>
        <v>-1</v>
      </c>
      <c r="S83">
        <f>IF(ISBLANK(BoardBTB!S83),-1,(COUNTIF(U83:BD83,4)*4+IF(COUNTIF(U83:BD83,2),1,0)*2+IF(COUNTIF(U83:BD83,1),1,0)))</f>
        <v>-1</v>
      </c>
      <c r="T83">
        <f ca="1">IF(ISBLANK(BoardBTB!T83),-1,(COUNTIF(U83:BD83,4)*4+IF(COUNTIF(U83:BD83,2),1,0)*2+IF(COUNTIF(U83:BD83,1),1,0)))</f>
        <v>2</v>
      </c>
      <c r="U83" cm="1">
        <f t="array" aca="1" ref="U83" ca="1">GetPin_RA8D1_32SD_MIPI</f>
        <v>0</v>
      </c>
      <c r="V83" cm="1">
        <f t="array" aca="1" ref="V83" ca="1">GetPin_RA8D1_32SD_MIPI</f>
        <v>0</v>
      </c>
      <c r="W83" cm="1">
        <f t="array" aca="1" ref="W83" ca="1">GetPin_RA8D1_32SD_MIPI</f>
        <v>0</v>
      </c>
      <c r="X83" cm="1">
        <f t="array" aca="1" ref="X83" ca="1">GetPin_RA8D1_32SD_MIPI</f>
        <v>0</v>
      </c>
      <c r="Y83" cm="1">
        <f t="array" aca="1" ref="Y83" ca="1">GetPin_RA8D1_32SD_MIPI</f>
        <v>2</v>
      </c>
      <c r="Z83" cm="1">
        <f t="array" aca="1" ref="Z83" ca="1">GetPin_RA8D1_32SD_MIPI</f>
        <v>0</v>
      </c>
      <c r="AA83" cm="1">
        <f t="array" aca="1" ref="AA83" ca="1">GetPin_RA8D1_32SD_MIPI</f>
        <v>0</v>
      </c>
      <c r="AB83" cm="1">
        <f t="array" aca="1" ref="AB83" ca="1">GetPin_RA8D1_32SD_MIPI</f>
        <v>0</v>
      </c>
      <c r="AC83" cm="1">
        <f t="array" aca="1" ref="AC83" ca="1">GetPin_RA8D1_32SD_MIPI</f>
        <v>0</v>
      </c>
      <c r="AD83" cm="1">
        <f t="array" aca="1" ref="AD83" ca="1">GetPin_RA8D1_32SD_MIPI</f>
        <v>0</v>
      </c>
      <c r="AE83" cm="1">
        <f t="array" aca="1" ref="AE83" ca="1">GetPin_RA8D1_32SD_MIPI</f>
        <v>0</v>
      </c>
      <c r="AF83" cm="1">
        <f t="array" aca="1" ref="AF83" ca="1">GetPin_RA8D1_32SD_MIPI</f>
        <v>0</v>
      </c>
      <c r="AG83" cm="1">
        <f t="array" aca="1" ref="AG83" ca="1">GetPin_RA8D1_32SD_MIPI</f>
        <v>0</v>
      </c>
      <c r="AH83" cm="1">
        <f t="array" aca="1" ref="AH83" ca="1">GetPin_RA8D1_32SD_MIPI</f>
        <v>0</v>
      </c>
      <c r="AI83" cm="1">
        <f t="array" aca="1" ref="AI83" ca="1">GetPin_RA8D1_32SD_MIPI</f>
        <v>0</v>
      </c>
      <c r="AJ83" cm="1">
        <f t="array" aca="1" ref="AJ83" ca="1">GetPin_RA8D1_32SD_MIPI</f>
        <v>0</v>
      </c>
      <c r="AK83" cm="1">
        <f t="array" aca="1" ref="AK83" ca="1">GetPin_RA8D1_32SD_MIPI</f>
        <v>0</v>
      </c>
      <c r="AL83" cm="1">
        <f t="array" aca="1" ref="AL83" ca="1">GetPin_RA8D1_32SD_MIPI</f>
        <v>0</v>
      </c>
      <c r="AM83" cm="1">
        <f t="array" aca="1" ref="AM83" ca="1">GetPin_RA8D1_32SD_MIPI</f>
        <v>0</v>
      </c>
      <c r="AN83" cm="1">
        <f t="array" aca="1" ref="AN83" ca="1">GetPin_RA8D1_32SD_MIPI</f>
        <v>0</v>
      </c>
      <c r="AO83" cm="1">
        <f t="array" aca="1" ref="AO83" ca="1">GetPin_RA8D1_32SD_MIPI</f>
        <v>0</v>
      </c>
      <c r="AP83" cm="1">
        <f t="array" aca="1" ref="AP83" ca="1">GetPin_RA8D1_32SD_MIPI</f>
        <v>0</v>
      </c>
      <c r="AQ83" cm="1">
        <f t="array" aca="1" ref="AQ83" ca="1">GetPin_RA8D1_32SD_MIPI</f>
        <v>0</v>
      </c>
      <c r="AR83" cm="1">
        <f t="array" aca="1" ref="AR83" ca="1">GetPin_RA8D1_32SD_MIPI</f>
        <v>0</v>
      </c>
      <c r="AS83" cm="1">
        <f t="array" aca="1" ref="AS83" ca="1">GetPin_RA8D1_32SD_MIPI</f>
        <v>0</v>
      </c>
      <c r="AT83" cm="1">
        <f t="array" aca="1" ref="AT83" ca="1">GetPin_RA8D1_32SD_MIPI</f>
        <v>0</v>
      </c>
      <c r="AU83" cm="1">
        <f t="array" aca="1" ref="AU83" ca="1">GetPin_RA8D1_32SD_MIPI</f>
        <v>0</v>
      </c>
      <c r="AV83" cm="1">
        <f t="array" aca="1" ref="AV83" ca="1">GetPin_RA8D1_32SD_MIPI</f>
        <v>0</v>
      </c>
      <c r="AW83" cm="1">
        <f t="array" aca="1" ref="AW83" ca="1">GetPin_RA8D1_32SD_MIPI</f>
        <v>0</v>
      </c>
      <c r="AX83" cm="1">
        <f t="array" aca="1" ref="AX83" ca="1">GetPin_RA8D1_32SD_MIPI</f>
        <v>0</v>
      </c>
      <c r="AY83" cm="1">
        <f t="array" aca="1" ref="AY83" ca="1">GetPin_RA8D1_32SD_MIPI</f>
        <v>0</v>
      </c>
      <c r="AZ83" cm="1">
        <f t="array" aca="1" ref="AZ83" ca="1">GetPin_RA8D1_32SD_MIPI</f>
        <v>0</v>
      </c>
      <c r="BA83" cm="1">
        <f t="array" aca="1" ref="BA83" ca="1">GetPin_RA8D1_32SD_MIPI</f>
        <v>0</v>
      </c>
      <c r="BB83" cm="1">
        <f t="array" aca="1" ref="BB83" ca="1">GetPin_RA8D1_32SD_MIPI</f>
        <v>0</v>
      </c>
      <c r="BC83" cm="1">
        <f t="array" aca="1" ref="BC83" ca="1">GetPin_RA8D1_32SD_MIPI</f>
        <v>0</v>
      </c>
      <c r="BD83" cm="1">
        <f t="array" aca="1" ref="BD83" ca="1">GetPin_RA8D1_32SD_MIPI</f>
        <v>0</v>
      </c>
      <c r="BG83">
        <v>63</v>
      </c>
    </row>
    <row r="84" spans="17:59" x14ac:dyDescent="0.25">
      <c r="Q84">
        <f>IF(ISBLANK(BoardBTB!Q84),-1,(COUNTIF(U84:BD84,4)*4+IF(COUNTIF(U84:BD84,2),1,0)*2+IF(COUNTIF(U84:BD84,1),1,0)))</f>
        <v>-1</v>
      </c>
      <c r="R84">
        <f>IF(ISBLANK(BoardBTB!R84),-1,(COUNTIF(U84:BD84,4)*4+IF(COUNTIF(U84:BD84,2),1,0)*2+IF(COUNTIF(U84:BD84,1),1,0)))</f>
        <v>-1</v>
      </c>
      <c r="S84">
        <f>IF(ISBLANK(BoardBTB!S84),-1,(COUNTIF(U84:BD84,4)*4+IF(COUNTIF(U84:BD84,2),1,0)*2+IF(COUNTIF(U84:BD84,1),1,0)))</f>
        <v>-1</v>
      </c>
      <c r="T84">
        <f ca="1">IF(ISBLANK(BoardBTB!T84),-1,(COUNTIF(U84:BD84,4)*4+IF(COUNTIF(U84:BD84,2),1,0)*2+IF(COUNTIF(U84:BD84,1),1,0)))</f>
        <v>4</v>
      </c>
      <c r="U84" cm="1">
        <f t="array" aca="1" ref="U84" ca="1">GetPin_RA8D1_32SD_MIPI</f>
        <v>0</v>
      </c>
      <c r="V84" cm="1">
        <f t="array" aca="1" ref="V84" ca="1">GetPin_RA8D1_32SD_MIPI</f>
        <v>0</v>
      </c>
      <c r="W84" cm="1">
        <f t="array" aca="1" ref="W84" ca="1">GetPin_RA8D1_32SD_MIPI</f>
        <v>0</v>
      </c>
      <c r="X84" cm="1">
        <f t="array" aca="1" ref="X84" ca="1">GetPin_RA8D1_32SD_MIPI</f>
        <v>0</v>
      </c>
      <c r="Y84" cm="1">
        <f t="array" aca="1" ref="Y84" ca="1">GetPin_RA8D1_32SD_MIPI</f>
        <v>0</v>
      </c>
      <c r="Z84" cm="1">
        <f t="array" aca="1" ref="Z84" ca="1">GetPin_RA8D1_32SD_MIPI</f>
        <v>4</v>
      </c>
      <c r="AA84" cm="1">
        <f t="array" aca="1" ref="AA84" ca="1">GetPin_RA8D1_32SD_MIPI</f>
        <v>0</v>
      </c>
      <c r="AB84" cm="1">
        <f t="array" aca="1" ref="AB84" ca="1">GetPin_RA8D1_32SD_MIPI</f>
        <v>0</v>
      </c>
      <c r="AC84" cm="1">
        <f t="array" aca="1" ref="AC84" ca="1">GetPin_RA8D1_32SD_MIPI</f>
        <v>0</v>
      </c>
      <c r="AD84" cm="1">
        <f t="array" aca="1" ref="AD84" ca="1">GetPin_RA8D1_32SD_MIPI</f>
        <v>0</v>
      </c>
      <c r="AE84" cm="1">
        <f t="array" aca="1" ref="AE84" ca="1">GetPin_RA8D1_32SD_MIPI</f>
        <v>0</v>
      </c>
      <c r="AF84" cm="1">
        <f t="array" aca="1" ref="AF84" ca="1">GetPin_RA8D1_32SD_MIPI</f>
        <v>0</v>
      </c>
      <c r="AG84" cm="1">
        <f t="array" aca="1" ref="AG84" ca="1">GetPin_RA8D1_32SD_MIPI</f>
        <v>0</v>
      </c>
      <c r="AH84" cm="1">
        <f t="array" aca="1" ref="AH84" ca="1">GetPin_RA8D1_32SD_MIPI</f>
        <v>0</v>
      </c>
      <c r="AI84" cm="1">
        <f t="array" aca="1" ref="AI84" ca="1">GetPin_RA8D1_32SD_MIPI</f>
        <v>0</v>
      </c>
      <c r="AJ84" cm="1">
        <f t="array" aca="1" ref="AJ84" ca="1">GetPin_RA8D1_32SD_MIPI</f>
        <v>0</v>
      </c>
      <c r="AK84" cm="1">
        <f t="array" aca="1" ref="AK84" ca="1">GetPin_RA8D1_32SD_MIPI</f>
        <v>0</v>
      </c>
      <c r="AL84" cm="1">
        <f t="array" aca="1" ref="AL84" ca="1">GetPin_RA8D1_32SD_MIPI</f>
        <v>0</v>
      </c>
      <c r="AM84" cm="1">
        <f t="array" aca="1" ref="AM84" ca="1">GetPin_RA8D1_32SD_MIPI</f>
        <v>0</v>
      </c>
      <c r="AN84" cm="1">
        <f t="array" aca="1" ref="AN84" ca="1">GetPin_RA8D1_32SD_MIPI</f>
        <v>0</v>
      </c>
      <c r="AO84" cm="1">
        <f t="array" aca="1" ref="AO84" ca="1">GetPin_RA8D1_32SD_MIPI</f>
        <v>0</v>
      </c>
      <c r="AP84" cm="1">
        <f t="array" aca="1" ref="AP84" ca="1">GetPin_RA8D1_32SD_MIPI</f>
        <v>0</v>
      </c>
      <c r="AQ84" cm="1">
        <f t="array" aca="1" ref="AQ84" ca="1">GetPin_RA8D1_32SD_MIPI</f>
        <v>0</v>
      </c>
      <c r="AR84" cm="1">
        <f t="array" aca="1" ref="AR84" ca="1">GetPin_RA8D1_32SD_MIPI</f>
        <v>0</v>
      </c>
      <c r="AS84" cm="1">
        <f t="array" aca="1" ref="AS84" ca="1">GetPin_RA8D1_32SD_MIPI</f>
        <v>0</v>
      </c>
      <c r="AT84" cm="1">
        <f t="array" aca="1" ref="AT84" ca="1">GetPin_RA8D1_32SD_MIPI</f>
        <v>0</v>
      </c>
      <c r="AU84" cm="1">
        <f t="array" aca="1" ref="AU84" ca="1">GetPin_RA8D1_32SD_MIPI</f>
        <v>0</v>
      </c>
      <c r="AV84" cm="1">
        <f t="array" aca="1" ref="AV84" ca="1">GetPin_RA8D1_32SD_MIPI</f>
        <v>0</v>
      </c>
      <c r="AW84" cm="1">
        <f t="array" aca="1" ref="AW84" ca="1">GetPin_RA8D1_32SD_MIPI</f>
        <v>0</v>
      </c>
      <c r="AX84" cm="1">
        <f t="array" aca="1" ref="AX84" ca="1">GetPin_RA8D1_32SD_MIPI</f>
        <v>0</v>
      </c>
      <c r="AY84" cm="1">
        <f t="array" aca="1" ref="AY84" ca="1">GetPin_RA8D1_32SD_MIPI</f>
        <v>0</v>
      </c>
      <c r="AZ84" cm="1">
        <f t="array" aca="1" ref="AZ84" ca="1">GetPin_RA8D1_32SD_MIPI</f>
        <v>0</v>
      </c>
      <c r="BA84" cm="1">
        <f t="array" aca="1" ref="BA84" ca="1">GetPin_RA8D1_32SD_MIPI</f>
        <v>0</v>
      </c>
      <c r="BB84" cm="1">
        <f t="array" aca="1" ref="BB84" ca="1">GetPin_RA8D1_32SD_MIPI</f>
        <v>0</v>
      </c>
      <c r="BC84" cm="1">
        <f t="array" aca="1" ref="BC84" ca="1">GetPin_RA8D1_32SD_MIPI</f>
        <v>0</v>
      </c>
      <c r="BD84" cm="1">
        <f t="array" aca="1" ref="BD84" ca="1">GetPin_RA8D1_32SD_MIPI</f>
        <v>0</v>
      </c>
      <c r="BG84">
        <v>64</v>
      </c>
    </row>
    <row r="85" spans="17:59" x14ac:dyDescent="0.25">
      <c r="Q85">
        <f>IF(ISBLANK(BoardBTB!Q85),-1,(COUNTIF(U85:BD85,4)*4+IF(COUNTIF(U85:BD85,2),1,0)*2+IF(COUNTIF(U85:BD85,1),1,0)))</f>
        <v>-1</v>
      </c>
      <c r="R85">
        <f>IF(ISBLANK(BoardBTB!R85),-1,(COUNTIF(U85:BD85,4)*4+IF(COUNTIF(U85:BD85,2),1,0)*2+IF(COUNTIF(U85:BD85,1),1,0)))</f>
        <v>-1</v>
      </c>
      <c r="S85">
        <f>IF(ISBLANK(BoardBTB!S85),-1,(COUNTIF(U85:BD85,4)*4+IF(COUNTIF(U85:BD85,2),1,0)*2+IF(COUNTIF(U85:BD85,1),1,0)))</f>
        <v>-1</v>
      </c>
      <c r="T85">
        <f ca="1">IF(ISBLANK(BoardBTB!T85),-1,(COUNTIF(U85:BD85,4)*4+IF(COUNTIF(U85:BD85,2),1,0)*2+IF(COUNTIF(U85:BD85,1),1,0)))</f>
        <v>0</v>
      </c>
      <c r="U85" cm="1">
        <f t="array" aca="1" ref="U85" ca="1">GetPin_RA8D1_32SD_MIPI</f>
        <v>0</v>
      </c>
      <c r="V85" cm="1">
        <f t="array" aca="1" ref="V85" ca="1">GetPin_RA8D1_32SD_MIPI</f>
        <v>0</v>
      </c>
      <c r="W85" cm="1">
        <f t="array" aca="1" ref="W85" ca="1">GetPin_RA8D1_32SD_MIPI</f>
        <v>0</v>
      </c>
      <c r="X85" cm="1">
        <f t="array" aca="1" ref="X85" ca="1">GetPin_RA8D1_32SD_MIPI</f>
        <v>0</v>
      </c>
      <c r="Y85" cm="1">
        <f t="array" aca="1" ref="Y85" ca="1">GetPin_RA8D1_32SD_MIPI</f>
        <v>0</v>
      </c>
      <c r="Z85" cm="1">
        <f t="array" aca="1" ref="Z85" ca="1">GetPin_RA8D1_32SD_MIPI</f>
        <v>0</v>
      </c>
      <c r="AA85" cm="1">
        <f t="array" aca="1" ref="AA85" ca="1">GetPin_RA8D1_32SD_MIPI</f>
        <v>0</v>
      </c>
      <c r="AB85" cm="1">
        <f t="array" aca="1" ref="AB85" ca="1">GetPin_RA8D1_32SD_MIPI</f>
        <v>0</v>
      </c>
      <c r="AC85" cm="1">
        <f t="array" aca="1" ref="AC85" ca="1">GetPin_RA8D1_32SD_MIPI</f>
        <v>0</v>
      </c>
      <c r="AD85" cm="1">
        <f t="array" aca="1" ref="AD85" ca="1">GetPin_RA8D1_32SD_MIPI</f>
        <v>0</v>
      </c>
      <c r="AE85" cm="1">
        <f t="array" aca="1" ref="AE85" ca="1">GetPin_RA8D1_32SD_MIPI</f>
        <v>0</v>
      </c>
      <c r="AF85" cm="1">
        <f t="array" aca="1" ref="AF85" ca="1">GetPin_RA8D1_32SD_MIPI</f>
        <v>0</v>
      </c>
      <c r="AG85" cm="1">
        <f t="array" aca="1" ref="AG85" ca="1">GetPin_RA8D1_32SD_MIPI</f>
        <v>0</v>
      </c>
      <c r="AH85" cm="1">
        <f t="array" aca="1" ref="AH85" ca="1">GetPin_RA8D1_32SD_MIPI</f>
        <v>0</v>
      </c>
      <c r="AI85" cm="1">
        <f t="array" aca="1" ref="AI85" ca="1">GetPin_RA8D1_32SD_MIPI</f>
        <v>0</v>
      </c>
      <c r="AJ85" cm="1">
        <f t="array" aca="1" ref="AJ85" ca="1">GetPin_RA8D1_32SD_MIPI</f>
        <v>0</v>
      </c>
      <c r="AK85" cm="1">
        <f t="array" aca="1" ref="AK85" ca="1">GetPin_RA8D1_32SD_MIPI</f>
        <v>0</v>
      </c>
      <c r="AL85" cm="1">
        <f t="array" aca="1" ref="AL85" ca="1">GetPin_RA8D1_32SD_MIPI</f>
        <v>0</v>
      </c>
      <c r="AM85" cm="1">
        <f t="array" aca="1" ref="AM85" ca="1">GetPin_RA8D1_32SD_MIPI</f>
        <v>0</v>
      </c>
      <c r="AN85" cm="1">
        <f t="array" aca="1" ref="AN85" ca="1">GetPin_RA8D1_32SD_MIPI</f>
        <v>0</v>
      </c>
      <c r="AO85" cm="1">
        <f t="array" aca="1" ref="AO85" ca="1">GetPin_RA8D1_32SD_MIPI</f>
        <v>0</v>
      </c>
      <c r="AP85" cm="1">
        <f t="array" aca="1" ref="AP85" ca="1">GetPin_RA8D1_32SD_MIPI</f>
        <v>0</v>
      </c>
      <c r="AQ85" cm="1">
        <f t="array" aca="1" ref="AQ85" ca="1">GetPin_RA8D1_32SD_MIPI</f>
        <v>0</v>
      </c>
      <c r="AR85" cm="1">
        <f t="array" aca="1" ref="AR85" ca="1">GetPin_RA8D1_32SD_MIPI</f>
        <v>0</v>
      </c>
      <c r="AS85" cm="1">
        <f t="array" aca="1" ref="AS85" ca="1">GetPin_RA8D1_32SD_MIPI</f>
        <v>0</v>
      </c>
      <c r="AT85" cm="1">
        <f t="array" aca="1" ref="AT85" ca="1">GetPin_RA8D1_32SD_MIPI</f>
        <v>0</v>
      </c>
      <c r="AU85" cm="1">
        <f t="array" aca="1" ref="AU85" ca="1">GetPin_RA8D1_32SD_MIPI</f>
        <v>0</v>
      </c>
      <c r="AV85" cm="1">
        <f t="array" aca="1" ref="AV85" ca="1">GetPin_RA8D1_32SD_MIPI</f>
        <v>0</v>
      </c>
      <c r="AW85" cm="1">
        <f t="array" aca="1" ref="AW85" ca="1">GetPin_RA8D1_32SD_MIPI</f>
        <v>0</v>
      </c>
      <c r="AX85" cm="1">
        <f t="array" aca="1" ref="AX85" ca="1">GetPin_RA8D1_32SD_MIPI</f>
        <v>0</v>
      </c>
      <c r="AY85" cm="1">
        <f t="array" aca="1" ref="AY85" ca="1">GetPin_RA8D1_32SD_MIPI</f>
        <v>0</v>
      </c>
      <c r="AZ85" cm="1">
        <f t="array" aca="1" ref="AZ85" ca="1">GetPin_RA8D1_32SD_MIPI</f>
        <v>0</v>
      </c>
      <c r="BA85" cm="1">
        <f t="array" aca="1" ref="BA85" ca="1">GetPin_RA8D1_32SD_MIPI</f>
        <v>0</v>
      </c>
      <c r="BB85" cm="1">
        <f t="array" aca="1" ref="BB85" ca="1">GetPin_RA8D1_32SD_MIPI</f>
        <v>0</v>
      </c>
      <c r="BC85" cm="1">
        <f t="array" aca="1" ref="BC85" ca="1">GetPin_RA8D1_32SD_MIPI</f>
        <v>0</v>
      </c>
      <c r="BD85" cm="1">
        <f t="array" aca="1" ref="BD85" ca="1">GetPin_RA8D1_32SD_MIPI</f>
        <v>0</v>
      </c>
      <c r="BG85">
        <v>65</v>
      </c>
    </row>
    <row r="86" spans="17:59" x14ac:dyDescent="0.25">
      <c r="Q86">
        <f>IF(ISBLANK(BoardBTB!Q86),-1,(COUNTIF(U86:BD86,4)*4+IF(COUNTIF(U86:BD86,2),1,0)*2+IF(COUNTIF(U86:BD86,1),1,0)))</f>
        <v>-1</v>
      </c>
      <c r="R86">
        <f>IF(ISBLANK(BoardBTB!R86),-1,(COUNTIF(U86:BD86,4)*4+IF(COUNTIF(U86:BD86,2),1,0)*2+IF(COUNTIF(U86:BD86,1),1,0)))</f>
        <v>-1</v>
      </c>
      <c r="S86">
        <f>IF(ISBLANK(BoardBTB!S86),-1,(COUNTIF(U86:BD86,4)*4+IF(COUNTIF(U86:BD86,2),1,0)*2+IF(COUNTIF(U86:BD86,1),1,0)))</f>
        <v>-1</v>
      </c>
      <c r="T86">
        <f ca="1">IF(ISBLANK(BoardBTB!T86),-1,(COUNTIF(U86:BD86,4)*4+IF(COUNTIF(U86:BD86,2),1,0)*2+IF(COUNTIF(U86:BD86,1),1,0)))</f>
        <v>0</v>
      </c>
      <c r="U86" cm="1">
        <f t="array" aca="1" ref="U86" ca="1">GetPin_RA8D1_32SD_MIPI</f>
        <v>0</v>
      </c>
      <c r="V86" cm="1">
        <f t="array" aca="1" ref="V86" ca="1">GetPin_RA8D1_32SD_MIPI</f>
        <v>0</v>
      </c>
      <c r="W86" cm="1">
        <f t="array" aca="1" ref="W86" ca="1">GetPin_RA8D1_32SD_MIPI</f>
        <v>0</v>
      </c>
      <c r="X86" cm="1">
        <f t="array" aca="1" ref="X86" ca="1">GetPin_RA8D1_32SD_MIPI</f>
        <v>0</v>
      </c>
      <c r="Y86" cm="1">
        <f t="array" aca="1" ref="Y86" ca="1">GetPin_RA8D1_32SD_MIPI</f>
        <v>0</v>
      </c>
      <c r="Z86" cm="1">
        <f t="array" aca="1" ref="Z86" ca="1">GetPin_RA8D1_32SD_MIPI</f>
        <v>0</v>
      </c>
      <c r="AA86" cm="1">
        <f t="array" aca="1" ref="AA86" ca="1">GetPin_RA8D1_32SD_MIPI</f>
        <v>0</v>
      </c>
      <c r="AB86" cm="1">
        <f t="array" aca="1" ref="AB86" ca="1">GetPin_RA8D1_32SD_MIPI</f>
        <v>0</v>
      </c>
      <c r="AC86" cm="1">
        <f t="array" aca="1" ref="AC86" ca="1">GetPin_RA8D1_32SD_MIPI</f>
        <v>0</v>
      </c>
      <c r="AD86" cm="1">
        <f t="array" aca="1" ref="AD86" ca="1">GetPin_RA8D1_32SD_MIPI</f>
        <v>0</v>
      </c>
      <c r="AE86" cm="1">
        <f t="array" aca="1" ref="AE86" ca="1">GetPin_RA8D1_32SD_MIPI</f>
        <v>0</v>
      </c>
      <c r="AF86" cm="1">
        <f t="array" aca="1" ref="AF86" ca="1">GetPin_RA8D1_32SD_MIPI</f>
        <v>0</v>
      </c>
      <c r="AG86" cm="1">
        <f t="array" aca="1" ref="AG86" ca="1">GetPin_RA8D1_32SD_MIPI</f>
        <v>0</v>
      </c>
      <c r="AH86" cm="1">
        <f t="array" aca="1" ref="AH86" ca="1">GetPin_RA8D1_32SD_MIPI</f>
        <v>0</v>
      </c>
      <c r="AI86" cm="1">
        <f t="array" aca="1" ref="AI86" ca="1">GetPin_RA8D1_32SD_MIPI</f>
        <v>0</v>
      </c>
      <c r="AJ86" cm="1">
        <f t="array" aca="1" ref="AJ86" ca="1">GetPin_RA8D1_32SD_MIPI</f>
        <v>0</v>
      </c>
      <c r="AK86" cm="1">
        <f t="array" aca="1" ref="AK86" ca="1">GetPin_RA8D1_32SD_MIPI</f>
        <v>0</v>
      </c>
      <c r="AL86" cm="1">
        <f t="array" aca="1" ref="AL86" ca="1">GetPin_RA8D1_32SD_MIPI</f>
        <v>0</v>
      </c>
      <c r="AM86" cm="1">
        <f t="array" aca="1" ref="AM86" ca="1">GetPin_RA8D1_32SD_MIPI</f>
        <v>0</v>
      </c>
      <c r="AN86" cm="1">
        <f t="array" aca="1" ref="AN86" ca="1">GetPin_RA8D1_32SD_MIPI</f>
        <v>0</v>
      </c>
      <c r="AO86" cm="1">
        <f t="array" aca="1" ref="AO86" ca="1">GetPin_RA8D1_32SD_MIPI</f>
        <v>0</v>
      </c>
      <c r="AP86" cm="1">
        <f t="array" aca="1" ref="AP86" ca="1">GetPin_RA8D1_32SD_MIPI</f>
        <v>0</v>
      </c>
      <c r="AQ86" cm="1">
        <f t="array" aca="1" ref="AQ86" ca="1">GetPin_RA8D1_32SD_MIPI</f>
        <v>0</v>
      </c>
      <c r="AR86" cm="1">
        <f t="array" aca="1" ref="AR86" ca="1">GetPin_RA8D1_32SD_MIPI</f>
        <v>0</v>
      </c>
      <c r="AS86" cm="1">
        <f t="array" aca="1" ref="AS86" ca="1">GetPin_RA8D1_32SD_MIPI</f>
        <v>0</v>
      </c>
      <c r="AT86" cm="1">
        <f t="array" aca="1" ref="AT86" ca="1">GetPin_RA8D1_32SD_MIPI</f>
        <v>0</v>
      </c>
      <c r="AU86" cm="1">
        <f t="array" aca="1" ref="AU86" ca="1">GetPin_RA8D1_32SD_MIPI</f>
        <v>0</v>
      </c>
      <c r="AV86" cm="1">
        <f t="array" aca="1" ref="AV86" ca="1">GetPin_RA8D1_32SD_MIPI</f>
        <v>0</v>
      </c>
      <c r="AW86" cm="1">
        <f t="array" aca="1" ref="AW86" ca="1">GetPin_RA8D1_32SD_MIPI</f>
        <v>0</v>
      </c>
      <c r="AX86" cm="1">
        <f t="array" aca="1" ref="AX86" ca="1">GetPin_RA8D1_32SD_MIPI</f>
        <v>0</v>
      </c>
      <c r="AY86" cm="1">
        <f t="array" aca="1" ref="AY86" ca="1">GetPin_RA8D1_32SD_MIPI</f>
        <v>0</v>
      </c>
      <c r="AZ86" cm="1">
        <f t="array" aca="1" ref="AZ86" ca="1">GetPin_RA8D1_32SD_MIPI</f>
        <v>0</v>
      </c>
      <c r="BA86" cm="1">
        <f t="array" aca="1" ref="BA86" ca="1">GetPin_RA8D1_32SD_MIPI</f>
        <v>0</v>
      </c>
      <c r="BB86" cm="1">
        <f t="array" aca="1" ref="BB86" ca="1">GetPin_RA8D1_32SD_MIPI</f>
        <v>0</v>
      </c>
      <c r="BC86" cm="1">
        <f t="array" aca="1" ref="BC86" ca="1">GetPin_RA8D1_32SD_MIPI</f>
        <v>0</v>
      </c>
      <c r="BD86" cm="1">
        <f t="array" aca="1" ref="BD86" ca="1">GetPin_RA8D1_32SD_MIPI</f>
        <v>0</v>
      </c>
      <c r="BG86">
        <v>66</v>
      </c>
    </row>
    <row r="87" spans="17:59" x14ac:dyDescent="0.25">
      <c r="Q87">
        <f>IF(ISBLANK(BoardBTB!Q87),-1,(COUNTIF(U87:BD87,4)*4+IF(COUNTIF(U87:BD87,2),1,0)*2+IF(COUNTIF(U87:BD87,1),1,0)))</f>
        <v>-1</v>
      </c>
      <c r="R87">
        <f>IF(ISBLANK(BoardBTB!R87),-1,(COUNTIF(U87:BD87,4)*4+IF(COUNTIF(U87:BD87,2),1,0)*2+IF(COUNTIF(U87:BD87,1),1,0)))</f>
        <v>-1</v>
      </c>
      <c r="S87">
        <f>IF(ISBLANK(BoardBTB!S87),-1,(COUNTIF(U87:BD87,4)*4+IF(COUNTIF(U87:BD87,2),1,0)*2+IF(COUNTIF(U87:BD87,1),1,0)))</f>
        <v>-1</v>
      </c>
      <c r="T87">
        <f ca="1">IF(ISBLANK(BoardBTB!T87),-1,(COUNTIF(U87:BD87,4)*4+IF(COUNTIF(U87:BD87,2),1,0)*2+IF(COUNTIF(U87:BD87,1),1,0)))</f>
        <v>0</v>
      </c>
      <c r="U87" cm="1">
        <f t="array" aca="1" ref="U87" ca="1">GetPin_RA8D1_32SD_MIPI</f>
        <v>0</v>
      </c>
      <c r="V87" cm="1">
        <f t="array" aca="1" ref="V87" ca="1">GetPin_RA8D1_32SD_MIPI</f>
        <v>0</v>
      </c>
      <c r="W87" cm="1">
        <f t="array" aca="1" ref="W87" ca="1">GetPin_RA8D1_32SD_MIPI</f>
        <v>0</v>
      </c>
      <c r="X87" cm="1">
        <f t="array" aca="1" ref="X87" ca="1">GetPin_RA8D1_32SD_MIPI</f>
        <v>0</v>
      </c>
      <c r="Y87" cm="1">
        <f t="array" aca="1" ref="Y87" ca="1">GetPin_RA8D1_32SD_MIPI</f>
        <v>0</v>
      </c>
      <c r="Z87" cm="1">
        <f t="array" aca="1" ref="Z87" ca="1">GetPin_RA8D1_32SD_MIPI</f>
        <v>0</v>
      </c>
      <c r="AA87" cm="1">
        <f t="array" aca="1" ref="AA87" ca="1">GetPin_RA8D1_32SD_MIPI</f>
        <v>0</v>
      </c>
      <c r="AB87" cm="1">
        <f t="array" aca="1" ref="AB87" ca="1">GetPin_RA8D1_32SD_MIPI</f>
        <v>0</v>
      </c>
      <c r="AC87" cm="1">
        <f t="array" aca="1" ref="AC87" ca="1">GetPin_RA8D1_32SD_MIPI</f>
        <v>0</v>
      </c>
      <c r="AD87" cm="1">
        <f t="array" aca="1" ref="AD87" ca="1">GetPin_RA8D1_32SD_MIPI</f>
        <v>0</v>
      </c>
      <c r="AE87" cm="1">
        <f t="array" aca="1" ref="AE87" ca="1">GetPin_RA8D1_32SD_MIPI</f>
        <v>0</v>
      </c>
      <c r="AF87" cm="1">
        <f t="array" aca="1" ref="AF87" ca="1">GetPin_RA8D1_32SD_MIPI</f>
        <v>0</v>
      </c>
      <c r="AG87" cm="1">
        <f t="array" aca="1" ref="AG87" ca="1">GetPin_RA8D1_32SD_MIPI</f>
        <v>0</v>
      </c>
      <c r="AH87" cm="1">
        <f t="array" aca="1" ref="AH87" ca="1">GetPin_RA8D1_32SD_MIPI</f>
        <v>0</v>
      </c>
      <c r="AI87" cm="1">
        <f t="array" aca="1" ref="AI87" ca="1">GetPin_RA8D1_32SD_MIPI</f>
        <v>0</v>
      </c>
      <c r="AJ87" cm="1">
        <f t="array" aca="1" ref="AJ87" ca="1">GetPin_RA8D1_32SD_MIPI</f>
        <v>0</v>
      </c>
      <c r="AK87" cm="1">
        <f t="array" aca="1" ref="AK87" ca="1">GetPin_RA8D1_32SD_MIPI</f>
        <v>0</v>
      </c>
      <c r="AL87" cm="1">
        <f t="array" aca="1" ref="AL87" ca="1">GetPin_RA8D1_32SD_MIPI</f>
        <v>0</v>
      </c>
      <c r="AM87" cm="1">
        <f t="array" aca="1" ref="AM87" ca="1">GetPin_RA8D1_32SD_MIPI</f>
        <v>0</v>
      </c>
      <c r="AN87" cm="1">
        <f t="array" aca="1" ref="AN87" ca="1">GetPin_RA8D1_32SD_MIPI</f>
        <v>0</v>
      </c>
      <c r="AO87" cm="1">
        <f t="array" aca="1" ref="AO87" ca="1">GetPin_RA8D1_32SD_MIPI</f>
        <v>0</v>
      </c>
      <c r="AP87" cm="1">
        <f t="array" aca="1" ref="AP87" ca="1">GetPin_RA8D1_32SD_MIPI</f>
        <v>0</v>
      </c>
      <c r="AQ87" cm="1">
        <f t="array" aca="1" ref="AQ87" ca="1">GetPin_RA8D1_32SD_MIPI</f>
        <v>0</v>
      </c>
      <c r="AR87" cm="1">
        <f t="array" aca="1" ref="AR87" ca="1">GetPin_RA8D1_32SD_MIPI</f>
        <v>0</v>
      </c>
      <c r="AS87" cm="1">
        <f t="array" aca="1" ref="AS87" ca="1">GetPin_RA8D1_32SD_MIPI</f>
        <v>0</v>
      </c>
      <c r="AT87" cm="1">
        <f t="array" aca="1" ref="AT87" ca="1">GetPin_RA8D1_32SD_MIPI</f>
        <v>0</v>
      </c>
      <c r="AU87" cm="1">
        <f t="array" aca="1" ref="AU87" ca="1">GetPin_RA8D1_32SD_MIPI</f>
        <v>0</v>
      </c>
      <c r="AV87" cm="1">
        <f t="array" aca="1" ref="AV87" ca="1">GetPin_RA8D1_32SD_MIPI</f>
        <v>0</v>
      </c>
      <c r="AW87" cm="1">
        <f t="array" aca="1" ref="AW87" ca="1">GetPin_RA8D1_32SD_MIPI</f>
        <v>0</v>
      </c>
      <c r="AX87" cm="1">
        <f t="array" aca="1" ref="AX87" ca="1">GetPin_RA8D1_32SD_MIPI</f>
        <v>0</v>
      </c>
      <c r="AY87" cm="1">
        <f t="array" aca="1" ref="AY87" ca="1">GetPin_RA8D1_32SD_MIPI</f>
        <v>0</v>
      </c>
      <c r="AZ87" cm="1">
        <f t="array" aca="1" ref="AZ87" ca="1">GetPin_RA8D1_32SD_MIPI</f>
        <v>0</v>
      </c>
      <c r="BA87" cm="1">
        <f t="array" aca="1" ref="BA87" ca="1">GetPin_RA8D1_32SD_MIPI</f>
        <v>0</v>
      </c>
      <c r="BB87" cm="1">
        <f t="array" aca="1" ref="BB87" ca="1">GetPin_RA8D1_32SD_MIPI</f>
        <v>0</v>
      </c>
      <c r="BC87" cm="1">
        <f t="array" aca="1" ref="BC87" ca="1">GetPin_RA8D1_32SD_MIPI</f>
        <v>0</v>
      </c>
      <c r="BD87" cm="1">
        <f t="array" aca="1" ref="BD87" ca="1">GetPin_RA8D1_32SD_MIPI</f>
        <v>0</v>
      </c>
      <c r="BG87">
        <v>67</v>
      </c>
    </row>
    <row r="88" spans="17:59" x14ac:dyDescent="0.25">
      <c r="Q88">
        <f>IF(ISBLANK(BoardBTB!Q88),-1,(COUNTIF(U88:BD88,4)*4+IF(COUNTIF(U88:BD88,2),1,0)*2+IF(COUNTIF(U88:BD88,1),1,0)))</f>
        <v>-1</v>
      </c>
      <c r="R88">
        <f>IF(ISBLANK(BoardBTB!R88),-1,(COUNTIF(U88:BD88,4)*4+IF(COUNTIF(U88:BD88,2),1,0)*2+IF(COUNTIF(U88:BD88,1),1,0)))</f>
        <v>-1</v>
      </c>
      <c r="S88">
        <f>IF(ISBLANK(BoardBTB!S88),-1,(COUNTIF(U88:BD88,4)*4+IF(COUNTIF(U88:BD88,2),1,0)*2+IF(COUNTIF(U88:BD88,1),1,0)))</f>
        <v>-1</v>
      </c>
      <c r="T88">
        <f ca="1">IF(ISBLANK(BoardBTB!T88),-1,(COUNTIF(U88:BD88,4)*4+IF(COUNTIF(U88:BD88,2),1,0)*2+IF(COUNTIF(U88:BD88,1),1,0)))</f>
        <v>0</v>
      </c>
      <c r="U88" cm="1">
        <f t="array" aca="1" ref="U88" ca="1">GetPin_RA8D1_32SD_MIPI</f>
        <v>0</v>
      </c>
      <c r="V88" cm="1">
        <f t="array" aca="1" ref="V88" ca="1">GetPin_RA8D1_32SD_MIPI</f>
        <v>0</v>
      </c>
      <c r="W88" cm="1">
        <f t="array" aca="1" ref="W88" ca="1">GetPin_RA8D1_32SD_MIPI</f>
        <v>0</v>
      </c>
      <c r="X88" cm="1">
        <f t="array" aca="1" ref="X88" ca="1">GetPin_RA8D1_32SD_MIPI</f>
        <v>0</v>
      </c>
      <c r="Y88" cm="1">
        <f t="array" aca="1" ref="Y88" ca="1">GetPin_RA8D1_32SD_MIPI</f>
        <v>0</v>
      </c>
      <c r="Z88" cm="1">
        <f t="array" aca="1" ref="Z88" ca="1">GetPin_RA8D1_32SD_MIPI</f>
        <v>0</v>
      </c>
      <c r="AA88" cm="1">
        <f t="array" aca="1" ref="AA88" ca="1">GetPin_RA8D1_32SD_MIPI</f>
        <v>0</v>
      </c>
      <c r="AB88" cm="1">
        <f t="array" aca="1" ref="AB88" ca="1">GetPin_RA8D1_32SD_MIPI</f>
        <v>0</v>
      </c>
      <c r="AC88" cm="1">
        <f t="array" aca="1" ref="AC88" ca="1">GetPin_RA8D1_32SD_MIPI</f>
        <v>0</v>
      </c>
      <c r="AD88" cm="1">
        <f t="array" aca="1" ref="AD88" ca="1">GetPin_RA8D1_32SD_MIPI</f>
        <v>0</v>
      </c>
      <c r="AE88" cm="1">
        <f t="array" aca="1" ref="AE88" ca="1">GetPin_RA8D1_32SD_MIPI</f>
        <v>0</v>
      </c>
      <c r="AF88" cm="1">
        <f t="array" aca="1" ref="AF88" ca="1">GetPin_RA8D1_32SD_MIPI</f>
        <v>0</v>
      </c>
      <c r="AG88" cm="1">
        <f t="array" aca="1" ref="AG88" ca="1">GetPin_RA8D1_32SD_MIPI</f>
        <v>0</v>
      </c>
      <c r="AH88" cm="1">
        <f t="array" aca="1" ref="AH88" ca="1">GetPin_RA8D1_32SD_MIPI</f>
        <v>0</v>
      </c>
      <c r="AI88" cm="1">
        <f t="array" aca="1" ref="AI88" ca="1">GetPin_RA8D1_32SD_MIPI</f>
        <v>0</v>
      </c>
      <c r="AJ88" cm="1">
        <f t="array" aca="1" ref="AJ88" ca="1">GetPin_RA8D1_32SD_MIPI</f>
        <v>0</v>
      </c>
      <c r="AK88" cm="1">
        <f t="array" aca="1" ref="AK88" ca="1">GetPin_RA8D1_32SD_MIPI</f>
        <v>0</v>
      </c>
      <c r="AL88" cm="1">
        <f t="array" aca="1" ref="AL88" ca="1">GetPin_RA8D1_32SD_MIPI</f>
        <v>0</v>
      </c>
      <c r="AM88" cm="1">
        <f t="array" aca="1" ref="AM88" ca="1">GetPin_RA8D1_32SD_MIPI</f>
        <v>0</v>
      </c>
      <c r="AN88" cm="1">
        <f t="array" aca="1" ref="AN88" ca="1">GetPin_RA8D1_32SD_MIPI</f>
        <v>0</v>
      </c>
      <c r="AO88" cm="1">
        <f t="array" aca="1" ref="AO88" ca="1">GetPin_RA8D1_32SD_MIPI</f>
        <v>0</v>
      </c>
      <c r="AP88" cm="1">
        <f t="array" aca="1" ref="AP88" ca="1">GetPin_RA8D1_32SD_MIPI</f>
        <v>0</v>
      </c>
      <c r="AQ88" cm="1">
        <f t="array" aca="1" ref="AQ88" ca="1">GetPin_RA8D1_32SD_MIPI</f>
        <v>0</v>
      </c>
      <c r="AR88" cm="1">
        <f t="array" aca="1" ref="AR88" ca="1">GetPin_RA8D1_32SD_MIPI</f>
        <v>0</v>
      </c>
      <c r="AS88" cm="1">
        <f t="array" aca="1" ref="AS88" ca="1">GetPin_RA8D1_32SD_MIPI</f>
        <v>0</v>
      </c>
      <c r="AT88" cm="1">
        <f t="array" aca="1" ref="AT88" ca="1">GetPin_RA8D1_32SD_MIPI</f>
        <v>0</v>
      </c>
      <c r="AU88" cm="1">
        <f t="array" aca="1" ref="AU88" ca="1">GetPin_RA8D1_32SD_MIPI</f>
        <v>0</v>
      </c>
      <c r="AV88" cm="1">
        <f t="array" aca="1" ref="AV88" ca="1">GetPin_RA8D1_32SD_MIPI</f>
        <v>0</v>
      </c>
      <c r="AW88" cm="1">
        <f t="array" aca="1" ref="AW88" ca="1">GetPin_RA8D1_32SD_MIPI</f>
        <v>0</v>
      </c>
      <c r="AX88" cm="1">
        <f t="array" aca="1" ref="AX88" ca="1">GetPin_RA8D1_32SD_MIPI</f>
        <v>0</v>
      </c>
      <c r="AY88" cm="1">
        <f t="array" aca="1" ref="AY88" ca="1">GetPin_RA8D1_32SD_MIPI</f>
        <v>0</v>
      </c>
      <c r="AZ88" cm="1">
        <f t="array" aca="1" ref="AZ88" ca="1">GetPin_RA8D1_32SD_MIPI</f>
        <v>0</v>
      </c>
      <c r="BA88" cm="1">
        <f t="array" aca="1" ref="BA88" ca="1">GetPin_RA8D1_32SD_MIPI</f>
        <v>0</v>
      </c>
      <c r="BB88" cm="1">
        <f t="array" aca="1" ref="BB88" ca="1">GetPin_RA8D1_32SD_MIPI</f>
        <v>0</v>
      </c>
      <c r="BC88" cm="1">
        <f t="array" aca="1" ref="BC88" ca="1">GetPin_RA8D1_32SD_MIPI</f>
        <v>0</v>
      </c>
      <c r="BD88" cm="1">
        <f t="array" aca="1" ref="BD88" ca="1">GetPin_RA8D1_32SD_MIPI</f>
        <v>0</v>
      </c>
      <c r="BG88">
        <v>68</v>
      </c>
    </row>
    <row r="89" spans="17:59" x14ac:dyDescent="0.25">
      <c r="Q89">
        <f>IF(ISBLANK(BoardBTB!Q89),-1,(COUNTIF(U89:BD89,4)*4+IF(COUNTIF(U89:BD89,2),1,0)*2+IF(COUNTIF(U89:BD89,1),1,0)))</f>
        <v>-1</v>
      </c>
      <c r="R89">
        <f>IF(ISBLANK(BoardBTB!R89),-1,(COUNTIF(U89:BD89,4)*4+IF(COUNTIF(U89:BD89,2),1,0)*2+IF(COUNTIF(U89:BD89,1),1,0)))</f>
        <v>-1</v>
      </c>
      <c r="S89">
        <f>IF(ISBLANK(BoardBTB!S89),-1,(COUNTIF(U89:BD89,4)*4+IF(COUNTIF(U89:BD89,2),1,0)*2+IF(COUNTIF(U89:BD89,1),1,0)))</f>
        <v>-1</v>
      </c>
      <c r="T89">
        <f ca="1">IF(ISBLANK(BoardBTB!T89),-1,(COUNTIF(U89:BD89,4)*4+IF(COUNTIF(U89:BD89,2),1,0)*2+IF(COUNTIF(U89:BD89,1),1,0)))</f>
        <v>0</v>
      </c>
      <c r="U89" cm="1">
        <f t="array" aca="1" ref="U89" ca="1">GetPin_RA8D1_32SD_MIPI</f>
        <v>0</v>
      </c>
      <c r="V89" cm="1">
        <f t="array" aca="1" ref="V89" ca="1">GetPin_RA8D1_32SD_MIPI</f>
        <v>0</v>
      </c>
      <c r="W89" cm="1">
        <f t="array" aca="1" ref="W89" ca="1">GetPin_RA8D1_32SD_MIPI</f>
        <v>0</v>
      </c>
      <c r="X89" cm="1">
        <f t="array" aca="1" ref="X89" ca="1">GetPin_RA8D1_32SD_MIPI</f>
        <v>0</v>
      </c>
      <c r="Y89" cm="1">
        <f t="array" aca="1" ref="Y89" ca="1">GetPin_RA8D1_32SD_MIPI</f>
        <v>0</v>
      </c>
      <c r="Z89" cm="1">
        <f t="array" aca="1" ref="Z89" ca="1">GetPin_RA8D1_32SD_MIPI</f>
        <v>0</v>
      </c>
      <c r="AA89" cm="1">
        <f t="array" aca="1" ref="AA89" ca="1">GetPin_RA8D1_32SD_MIPI</f>
        <v>0</v>
      </c>
      <c r="AB89" cm="1">
        <f t="array" aca="1" ref="AB89" ca="1">GetPin_RA8D1_32SD_MIPI</f>
        <v>0</v>
      </c>
      <c r="AC89" cm="1">
        <f t="array" aca="1" ref="AC89" ca="1">GetPin_RA8D1_32SD_MIPI</f>
        <v>0</v>
      </c>
      <c r="AD89" cm="1">
        <f t="array" aca="1" ref="AD89" ca="1">GetPin_RA8D1_32SD_MIPI</f>
        <v>0</v>
      </c>
      <c r="AE89" cm="1">
        <f t="array" aca="1" ref="AE89" ca="1">GetPin_RA8D1_32SD_MIPI</f>
        <v>0</v>
      </c>
      <c r="AF89" cm="1">
        <f t="array" aca="1" ref="AF89" ca="1">GetPin_RA8D1_32SD_MIPI</f>
        <v>0</v>
      </c>
      <c r="AG89" cm="1">
        <f t="array" aca="1" ref="AG89" ca="1">GetPin_RA8D1_32SD_MIPI</f>
        <v>0</v>
      </c>
      <c r="AH89" cm="1">
        <f t="array" aca="1" ref="AH89" ca="1">GetPin_RA8D1_32SD_MIPI</f>
        <v>0</v>
      </c>
      <c r="AI89" cm="1">
        <f t="array" aca="1" ref="AI89" ca="1">GetPin_RA8D1_32SD_MIPI</f>
        <v>0</v>
      </c>
      <c r="AJ89" cm="1">
        <f t="array" aca="1" ref="AJ89" ca="1">GetPin_RA8D1_32SD_MIPI</f>
        <v>0</v>
      </c>
      <c r="AK89" cm="1">
        <f t="array" aca="1" ref="AK89" ca="1">GetPin_RA8D1_32SD_MIPI</f>
        <v>0</v>
      </c>
      <c r="AL89" cm="1">
        <f t="array" aca="1" ref="AL89" ca="1">GetPin_RA8D1_32SD_MIPI</f>
        <v>0</v>
      </c>
      <c r="AM89" cm="1">
        <f t="array" aca="1" ref="AM89" ca="1">GetPin_RA8D1_32SD_MIPI</f>
        <v>0</v>
      </c>
      <c r="AN89" cm="1">
        <f t="array" aca="1" ref="AN89" ca="1">GetPin_RA8D1_32SD_MIPI</f>
        <v>0</v>
      </c>
      <c r="AO89" cm="1">
        <f t="array" aca="1" ref="AO89" ca="1">GetPin_RA8D1_32SD_MIPI</f>
        <v>0</v>
      </c>
      <c r="AP89" cm="1">
        <f t="array" aca="1" ref="AP89" ca="1">GetPin_RA8D1_32SD_MIPI</f>
        <v>0</v>
      </c>
      <c r="AQ89" cm="1">
        <f t="array" aca="1" ref="AQ89" ca="1">GetPin_RA8D1_32SD_MIPI</f>
        <v>0</v>
      </c>
      <c r="AR89" cm="1">
        <f t="array" aca="1" ref="AR89" ca="1">GetPin_RA8D1_32SD_MIPI</f>
        <v>0</v>
      </c>
      <c r="AS89" cm="1">
        <f t="array" aca="1" ref="AS89" ca="1">GetPin_RA8D1_32SD_MIPI</f>
        <v>0</v>
      </c>
      <c r="AT89" cm="1">
        <f t="array" aca="1" ref="AT89" ca="1">GetPin_RA8D1_32SD_MIPI</f>
        <v>0</v>
      </c>
      <c r="AU89" cm="1">
        <f t="array" aca="1" ref="AU89" ca="1">GetPin_RA8D1_32SD_MIPI</f>
        <v>0</v>
      </c>
      <c r="AV89" cm="1">
        <f t="array" aca="1" ref="AV89" ca="1">GetPin_RA8D1_32SD_MIPI</f>
        <v>0</v>
      </c>
      <c r="AW89" cm="1">
        <f t="array" aca="1" ref="AW89" ca="1">GetPin_RA8D1_32SD_MIPI</f>
        <v>0</v>
      </c>
      <c r="AX89" cm="1">
        <f t="array" aca="1" ref="AX89" ca="1">GetPin_RA8D1_32SD_MIPI</f>
        <v>0</v>
      </c>
      <c r="AY89" cm="1">
        <f t="array" aca="1" ref="AY89" ca="1">GetPin_RA8D1_32SD_MIPI</f>
        <v>0</v>
      </c>
      <c r="AZ89" cm="1">
        <f t="array" aca="1" ref="AZ89" ca="1">GetPin_RA8D1_32SD_MIPI</f>
        <v>0</v>
      </c>
      <c r="BA89" cm="1">
        <f t="array" aca="1" ref="BA89" ca="1">GetPin_RA8D1_32SD_MIPI</f>
        <v>0</v>
      </c>
      <c r="BB89" cm="1">
        <f t="array" aca="1" ref="BB89" ca="1">GetPin_RA8D1_32SD_MIPI</f>
        <v>0</v>
      </c>
      <c r="BC89" cm="1">
        <f t="array" aca="1" ref="BC89" ca="1">GetPin_RA8D1_32SD_MIPI</f>
        <v>0</v>
      </c>
      <c r="BD89" cm="1">
        <f t="array" aca="1" ref="BD89" ca="1">GetPin_RA8D1_32SD_MIPI</f>
        <v>0</v>
      </c>
      <c r="BG89">
        <v>80</v>
      </c>
    </row>
    <row r="90" spans="17:59" x14ac:dyDescent="0.25">
      <c r="Q90">
        <f>IF(ISBLANK(BoardBTB!Q90),-1,(COUNTIF(U90:BD90,4)*4+IF(COUNTIF(U90:BD90,2),1,0)*2+IF(COUNTIF(U90:BD90,1),1,0)))</f>
        <v>-1</v>
      </c>
      <c r="R90">
        <f>IF(ISBLANK(BoardBTB!R90),-1,(COUNTIF(U90:BD90,4)*4+IF(COUNTIF(U90:BD90,2),1,0)*2+IF(COUNTIF(U90:BD90,1),1,0)))</f>
        <v>-1</v>
      </c>
      <c r="S90">
        <f>IF(ISBLANK(BoardBTB!S90),-1,(COUNTIF(U90:BD90,4)*4+IF(COUNTIF(U90:BD90,2),1,0)*2+IF(COUNTIF(U90:BD90,1),1,0)))</f>
        <v>-1</v>
      </c>
      <c r="T90">
        <f ca="1">IF(ISBLANK(BoardBTB!T90),-1,(COUNTIF(U90:BD90,4)*4+IF(COUNTIF(U90:BD90,2),1,0)*2+IF(COUNTIF(U90:BD90,1),1,0)))</f>
        <v>0</v>
      </c>
      <c r="U90" cm="1">
        <f t="array" aca="1" ref="U90" ca="1">GetPin_RA8D1_32SD_MIPI</f>
        <v>0</v>
      </c>
      <c r="V90" cm="1">
        <f t="array" aca="1" ref="V90" ca="1">GetPin_RA8D1_32SD_MIPI</f>
        <v>0</v>
      </c>
      <c r="W90" cm="1">
        <f t="array" aca="1" ref="W90" ca="1">GetPin_RA8D1_32SD_MIPI</f>
        <v>0</v>
      </c>
      <c r="X90" cm="1">
        <f t="array" aca="1" ref="X90" ca="1">GetPin_RA8D1_32SD_MIPI</f>
        <v>0</v>
      </c>
      <c r="Y90" cm="1">
        <f t="array" aca="1" ref="Y90" ca="1">GetPin_RA8D1_32SD_MIPI</f>
        <v>0</v>
      </c>
      <c r="Z90" cm="1">
        <f t="array" aca="1" ref="Z90" ca="1">GetPin_RA8D1_32SD_MIPI</f>
        <v>0</v>
      </c>
      <c r="AA90" cm="1">
        <f t="array" aca="1" ref="AA90" ca="1">GetPin_RA8D1_32SD_MIPI</f>
        <v>0</v>
      </c>
      <c r="AB90" cm="1">
        <f t="array" aca="1" ref="AB90" ca="1">GetPin_RA8D1_32SD_MIPI</f>
        <v>0</v>
      </c>
      <c r="AC90" cm="1">
        <f t="array" aca="1" ref="AC90" ca="1">GetPin_RA8D1_32SD_MIPI</f>
        <v>0</v>
      </c>
      <c r="AD90" cm="1">
        <f t="array" aca="1" ref="AD90" ca="1">GetPin_RA8D1_32SD_MIPI</f>
        <v>0</v>
      </c>
      <c r="AE90" cm="1">
        <f t="array" aca="1" ref="AE90" ca="1">GetPin_RA8D1_32SD_MIPI</f>
        <v>0</v>
      </c>
      <c r="AF90" cm="1">
        <f t="array" aca="1" ref="AF90" ca="1">GetPin_RA8D1_32SD_MIPI</f>
        <v>0</v>
      </c>
      <c r="AG90" cm="1">
        <f t="array" aca="1" ref="AG90" ca="1">GetPin_RA8D1_32SD_MIPI</f>
        <v>0</v>
      </c>
      <c r="AH90" cm="1">
        <f t="array" aca="1" ref="AH90" ca="1">GetPin_RA8D1_32SD_MIPI</f>
        <v>0</v>
      </c>
      <c r="AI90" cm="1">
        <f t="array" aca="1" ref="AI90" ca="1">GetPin_RA8D1_32SD_MIPI</f>
        <v>0</v>
      </c>
      <c r="AJ90" cm="1">
        <f t="array" aca="1" ref="AJ90" ca="1">GetPin_RA8D1_32SD_MIPI</f>
        <v>0</v>
      </c>
      <c r="AK90" cm="1">
        <f t="array" aca="1" ref="AK90" ca="1">GetPin_RA8D1_32SD_MIPI</f>
        <v>0</v>
      </c>
      <c r="AL90" cm="1">
        <f t="array" aca="1" ref="AL90" ca="1">GetPin_RA8D1_32SD_MIPI</f>
        <v>0</v>
      </c>
      <c r="AM90" cm="1">
        <f t="array" aca="1" ref="AM90" ca="1">GetPin_RA8D1_32SD_MIPI</f>
        <v>0</v>
      </c>
      <c r="AN90" cm="1">
        <f t="array" aca="1" ref="AN90" ca="1">GetPin_RA8D1_32SD_MIPI</f>
        <v>0</v>
      </c>
      <c r="AO90" cm="1">
        <f t="array" aca="1" ref="AO90" ca="1">GetPin_RA8D1_32SD_MIPI</f>
        <v>0</v>
      </c>
      <c r="AP90" cm="1">
        <f t="array" aca="1" ref="AP90" ca="1">GetPin_RA8D1_32SD_MIPI</f>
        <v>0</v>
      </c>
      <c r="AQ90" cm="1">
        <f t="array" aca="1" ref="AQ90" ca="1">GetPin_RA8D1_32SD_MIPI</f>
        <v>0</v>
      </c>
      <c r="AR90" cm="1">
        <f t="array" aca="1" ref="AR90" ca="1">GetPin_RA8D1_32SD_MIPI</f>
        <v>0</v>
      </c>
      <c r="AS90" cm="1">
        <f t="array" aca="1" ref="AS90" ca="1">GetPin_RA8D1_32SD_MIPI</f>
        <v>0</v>
      </c>
      <c r="AT90" cm="1">
        <f t="array" aca="1" ref="AT90" ca="1">GetPin_RA8D1_32SD_MIPI</f>
        <v>0</v>
      </c>
      <c r="AU90" cm="1">
        <f t="array" aca="1" ref="AU90" ca="1">GetPin_RA8D1_32SD_MIPI</f>
        <v>0</v>
      </c>
      <c r="AV90" cm="1">
        <f t="array" aca="1" ref="AV90" ca="1">GetPin_RA8D1_32SD_MIPI</f>
        <v>0</v>
      </c>
      <c r="AW90" cm="1">
        <f t="array" aca="1" ref="AW90" ca="1">GetPin_RA8D1_32SD_MIPI</f>
        <v>0</v>
      </c>
      <c r="AX90" cm="1">
        <f t="array" aca="1" ref="AX90" ca="1">GetPin_RA8D1_32SD_MIPI</f>
        <v>0</v>
      </c>
      <c r="AY90" cm="1">
        <f t="array" aca="1" ref="AY90" ca="1">GetPin_RA8D1_32SD_MIPI</f>
        <v>0</v>
      </c>
      <c r="AZ90" cm="1">
        <f t="array" aca="1" ref="AZ90" ca="1">GetPin_RA8D1_32SD_MIPI</f>
        <v>0</v>
      </c>
      <c r="BA90" cm="1">
        <f t="array" aca="1" ref="BA90" ca="1">GetPin_RA8D1_32SD_MIPI</f>
        <v>0</v>
      </c>
      <c r="BB90" cm="1">
        <f t="array" aca="1" ref="BB90" ca="1">GetPin_RA8D1_32SD_MIPI</f>
        <v>0</v>
      </c>
      <c r="BC90" cm="1">
        <f t="array" aca="1" ref="BC90" ca="1">GetPin_RA8D1_32SD_MIPI</f>
        <v>0</v>
      </c>
      <c r="BD90" cm="1">
        <f t="array" aca="1" ref="BD90" ca="1">GetPin_RA8D1_32SD_MIPI</f>
        <v>0</v>
      </c>
      <c r="BG90">
        <v>81</v>
      </c>
    </row>
    <row r="91" spans="17:59" x14ac:dyDescent="0.25">
      <c r="Q91">
        <f>IF(ISBLANK(BoardBTB!Q91),-1,(COUNTIF(U91:BD91,4)*4+IF(COUNTIF(U91:BD91,2),1,0)*2+IF(COUNTIF(U91:BD91,1),1,0)))</f>
        <v>-1</v>
      </c>
      <c r="R91">
        <f>IF(ISBLANK(BoardBTB!R91),-1,(COUNTIF(U91:BD91,4)*4+IF(COUNTIF(U91:BD91,2),1,0)*2+IF(COUNTIF(U91:BD91,1),1,0)))</f>
        <v>-1</v>
      </c>
      <c r="S91">
        <f>IF(ISBLANK(BoardBTB!S91),-1,(COUNTIF(U91:BD91,4)*4+IF(COUNTIF(U91:BD91,2),1,0)*2+IF(COUNTIF(U91:BD91,1),1,0)))</f>
        <v>-1</v>
      </c>
      <c r="T91">
        <f ca="1">IF(ISBLANK(BoardBTB!T91),-1,(COUNTIF(U91:BD91,4)*4+IF(COUNTIF(U91:BD91,2),1,0)*2+IF(COUNTIF(U91:BD91,1),1,0)))</f>
        <v>4</v>
      </c>
      <c r="U91" cm="1">
        <f t="array" aca="1" ref="U91" ca="1">GetPin_RA8D1_32SD_MIPI</f>
        <v>4</v>
      </c>
      <c r="V91" cm="1">
        <f t="array" aca="1" ref="V91" ca="1">GetPin_RA8D1_32SD_MIPI</f>
        <v>0</v>
      </c>
      <c r="W91" cm="1">
        <f t="array" aca="1" ref="W91" ca="1">GetPin_RA8D1_32SD_MIPI</f>
        <v>0</v>
      </c>
      <c r="X91" cm="1">
        <f t="array" aca="1" ref="X91" ca="1">GetPin_RA8D1_32SD_MIPI</f>
        <v>0</v>
      </c>
      <c r="Y91" cm="1">
        <f t="array" aca="1" ref="Y91" ca="1">GetPin_RA8D1_32SD_MIPI</f>
        <v>0</v>
      </c>
      <c r="Z91" cm="1">
        <f t="array" aca="1" ref="Z91" ca="1">GetPin_RA8D1_32SD_MIPI</f>
        <v>0</v>
      </c>
      <c r="AA91" cm="1">
        <f t="array" aca="1" ref="AA91" ca="1">GetPin_RA8D1_32SD_MIPI</f>
        <v>0</v>
      </c>
      <c r="AB91" cm="1">
        <f t="array" aca="1" ref="AB91" ca="1">GetPin_RA8D1_32SD_MIPI</f>
        <v>0</v>
      </c>
      <c r="AC91" cm="1">
        <f t="array" aca="1" ref="AC91" ca="1">GetPin_RA8D1_32SD_MIPI</f>
        <v>0</v>
      </c>
      <c r="AD91" cm="1">
        <f t="array" aca="1" ref="AD91" ca="1">GetPin_RA8D1_32SD_MIPI</f>
        <v>0</v>
      </c>
      <c r="AE91" cm="1">
        <f t="array" aca="1" ref="AE91" ca="1">GetPin_RA8D1_32SD_MIPI</f>
        <v>0</v>
      </c>
      <c r="AF91" cm="1">
        <f t="array" aca="1" ref="AF91" ca="1">GetPin_RA8D1_32SD_MIPI</f>
        <v>0</v>
      </c>
      <c r="AG91" cm="1">
        <f t="array" aca="1" ref="AG91" ca="1">GetPin_RA8D1_32SD_MIPI</f>
        <v>0</v>
      </c>
      <c r="AH91" cm="1">
        <f t="array" aca="1" ref="AH91" ca="1">GetPin_RA8D1_32SD_MIPI</f>
        <v>0</v>
      </c>
      <c r="AI91" cm="1">
        <f t="array" aca="1" ref="AI91" ca="1">GetPin_RA8D1_32SD_MIPI</f>
        <v>0</v>
      </c>
      <c r="AJ91" cm="1">
        <f t="array" aca="1" ref="AJ91" ca="1">GetPin_RA8D1_32SD_MIPI</f>
        <v>0</v>
      </c>
      <c r="AK91" cm="1">
        <f t="array" aca="1" ref="AK91" ca="1">GetPin_RA8D1_32SD_MIPI</f>
        <v>0</v>
      </c>
      <c r="AL91" cm="1">
        <f t="array" aca="1" ref="AL91" ca="1">GetPin_RA8D1_32SD_MIPI</f>
        <v>0</v>
      </c>
      <c r="AM91" cm="1">
        <f t="array" aca="1" ref="AM91" ca="1">GetPin_RA8D1_32SD_MIPI</f>
        <v>0</v>
      </c>
      <c r="AN91" cm="1">
        <f t="array" aca="1" ref="AN91" ca="1">GetPin_RA8D1_32SD_MIPI</f>
        <v>0</v>
      </c>
      <c r="AO91" cm="1">
        <f t="array" aca="1" ref="AO91" ca="1">GetPin_RA8D1_32SD_MIPI</f>
        <v>0</v>
      </c>
      <c r="AP91" cm="1">
        <f t="array" aca="1" ref="AP91" ca="1">GetPin_RA8D1_32SD_MIPI</f>
        <v>0</v>
      </c>
      <c r="AQ91" cm="1">
        <f t="array" aca="1" ref="AQ91" ca="1">GetPin_RA8D1_32SD_MIPI</f>
        <v>0</v>
      </c>
      <c r="AR91" cm="1">
        <f t="array" aca="1" ref="AR91" ca="1">GetPin_RA8D1_32SD_MIPI</f>
        <v>0</v>
      </c>
      <c r="AS91" cm="1">
        <f t="array" aca="1" ref="AS91" ca="1">GetPin_RA8D1_32SD_MIPI</f>
        <v>0</v>
      </c>
      <c r="AT91" cm="1">
        <f t="array" aca="1" ref="AT91" ca="1">GetPin_RA8D1_32SD_MIPI</f>
        <v>0</v>
      </c>
      <c r="AU91" cm="1">
        <f t="array" aca="1" ref="AU91" ca="1">GetPin_RA8D1_32SD_MIPI</f>
        <v>0</v>
      </c>
      <c r="AV91" cm="1">
        <f t="array" aca="1" ref="AV91" ca="1">GetPin_RA8D1_32SD_MIPI</f>
        <v>0</v>
      </c>
      <c r="AW91" cm="1">
        <f t="array" aca="1" ref="AW91" ca="1">GetPin_RA8D1_32SD_MIPI</f>
        <v>0</v>
      </c>
      <c r="AX91" cm="1">
        <f t="array" aca="1" ref="AX91" ca="1">GetPin_RA8D1_32SD_MIPI</f>
        <v>0</v>
      </c>
      <c r="AY91" cm="1">
        <f t="array" aca="1" ref="AY91" ca="1">GetPin_RA8D1_32SD_MIPI</f>
        <v>0</v>
      </c>
      <c r="AZ91" cm="1">
        <f t="array" aca="1" ref="AZ91" ca="1">GetPin_RA8D1_32SD_MIPI</f>
        <v>0</v>
      </c>
      <c r="BA91" cm="1">
        <f t="array" aca="1" ref="BA91" ca="1">GetPin_RA8D1_32SD_MIPI</f>
        <v>0</v>
      </c>
      <c r="BB91" cm="1">
        <f t="array" aca="1" ref="BB91" ca="1">GetPin_RA8D1_32SD_MIPI</f>
        <v>0</v>
      </c>
      <c r="BC91" cm="1">
        <f t="array" aca="1" ref="BC91" ca="1">GetPin_RA8D1_32SD_MIPI</f>
        <v>0</v>
      </c>
      <c r="BD91" cm="1">
        <f t="array" aca="1" ref="BD91" ca="1">GetPin_RA8D1_32SD_MIPI</f>
        <v>0</v>
      </c>
      <c r="BG91">
        <v>86</v>
      </c>
    </row>
    <row r="92" spans="17:59" x14ac:dyDescent="0.25">
      <c r="Q92">
        <f>IF(ISBLANK(BoardBTB!Q92),-1,(COUNTIF(U92:BD92,4)*4+IF(COUNTIF(U92:BD92,2),1,0)*2+IF(COUNTIF(U92:BD92,1),1,0)))</f>
        <v>-1</v>
      </c>
      <c r="R92">
        <f>IF(ISBLANK(BoardBTB!R92),-1,(COUNTIF(U92:BD92,4)*4+IF(COUNTIF(U92:BD92,2),1,0)*2+IF(COUNTIF(U92:BD92,1),1,0)))</f>
        <v>-1</v>
      </c>
      <c r="S92">
        <f>IF(ISBLANK(BoardBTB!S92),-1,(COUNTIF(U92:BD92,4)*4+IF(COUNTIF(U92:BD92,2),1,0)*2+IF(COUNTIF(U92:BD92,1),1,0)))</f>
        <v>-1</v>
      </c>
      <c r="T92">
        <f ca="1">IF(ISBLANK(BoardBTB!T92),-1,(COUNTIF(U92:BD92,4)*4+IF(COUNTIF(U92:BD92,2),1,0)*2+IF(COUNTIF(U92:BD92,1),1,0)))</f>
        <v>4</v>
      </c>
      <c r="U92" cm="1">
        <f t="array" aca="1" ref="U92" ca="1">GetPin_RA8D1_32SD_MIPI</f>
        <v>4</v>
      </c>
      <c r="V92" cm="1">
        <f t="array" aca="1" ref="V92" ca="1">GetPin_RA8D1_32SD_MIPI</f>
        <v>0</v>
      </c>
      <c r="W92" cm="1">
        <f t="array" aca="1" ref="W92" ca="1">GetPin_RA8D1_32SD_MIPI</f>
        <v>0</v>
      </c>
      <c r="X92" cm="1">
        <f t="array" aca="1" ref="X92" ca="1">GetPin_RA8D1_32SD_MIPI</f>
        <v>0</v>
      </c>
      <c r="Y92" cm="1">
        <f t="array" aca="1" ref="Y92" ca="1">GetPin_RA8D1_32SD_MIPI</f>
        <v>0</v>
      </c>
      <c r="Z92" cm="1">
        <f t="array" aca="1" ref="Z92" ca="1">GetPin_RA8D1_32SD_MIPI</f>
        <v>0</v>
      </c>
      <c r="AA92" cm="1">
        <f t="array" aca="1" ref="AA92" ca="1">GetPin_RA8D1_32SD_MIPI</f>
        <v>0</v>
      </c>
      <c r="AB92" cm="1">
        <f t="array" aca="1" ref="AB92" ca="1">GetPin_RA8D1_32SD_MIPI</f>
        <v>0</v>
      </c>
      <c r="AC92" cm="1">
        <f t="array" aca="1" ref="AC92" ca="1">GetPin_RA8D1_32SD_MIPI</f>
        <v>0</v>
      </c>
      <c r="AD92" cm="1">
        <f t="array" aca="1" ref="AD92" ca="1">GetPin_RA8D1_32SD_MIPI</f>
        <v>0</v>
      </c>
      <c r="AE92" cm="1">
        <f t="array" aca="1" ref="AE92" ca="1">GetPin_RA8D1_32SD_MIPI</f>
        <v>0</v>
      </c>
      <c r="AF92" cm="1">
        <f t="array" aca="1" ref="AF92" ca="1">GetPin_RA8D1_32SD_MIPI</f>
        <v>0</v>
      </c>
      <c r="AG92" cm="1">
        <f t="array" aca="1" ref="AG92" ca="1">GetPin_RA8D1_32SD_MIPI</f>
        <v>0</v>
      </c>
      <c r="AH92" cm="1">
        <f t="array" aca="1" ref="AH92" ca="1">GetPin_RA8D1_32SD_MIPI</f>
        <v>0</v>
      </c>
      <c r="AI92" cm="1">
        <f t="array" aca="1" ref="AI92" ca="1">GetPin_RA8D1_32SD_MIPI</f>
        <v>0</v>
      </c>
      <c r="AJ92" cm="1">
        <f t="array" aca="1" ref="AJ92" ca="1">GetPin_RA8D1_32SD_MIPI</f>
        <v>0</v>
      </c>
      <c r="AK92" cm="1">
        <f t="array" aca="1" ref="AK92" ca="1">GetPin_RA8D1_32SD_MIPI</f>
        <v>0</v>
      </c>
      <c r="AL92" cm="1">
        <f t="array" aca="1" ref="AL92" ca="1">GetPin_RA8D1_32SD_MIPI</f>
        <v>0</v>
      </c>
      <c r="AM92" cm="1">
        <f t="array" aca="1" ref="AM92" ca="1">GetPin_RA8D1_32SD_MIPI</f>
        <v>0</v>
      </c>
      <c r="AN92" cm="1">
        <f t="array" aca="1" ref="AN92" ca="1">GetPin_RA8D1_32SD_MIPI</f>
        <v>0</v>
      </c>
      <c r="AO92" cm="1">
        <f t="array" aca="1" ref="AO92" ca="1">GetPin_RA8D1_32SD_MIPI</f>
        <v>0</v>
      </c>
      <c r="AP92" cm="1">
        <f t="array" aca="1" ref="AP92" ca="1">GetPin_RA8D1_32SD_MIPI</f>
        <v>0</v>
      </c>
      <c r="AQ92" cm="1">
        <f t="array" aca="1" ref="AQ92" ca="1">GetPin_RA8D1_32SD_MIPI</f>
        <v>0</v>
      </c>
      <c r="AR92" cm="1">
        <f t="array" aca="1" ref="AR92" ca="1">GetPin_RA8D1_32SD_MIPI</f>
        <v>0</v>
      </c>
      <c r="AS92" cm="1">
        <f t="array" aca="1" ref="AS92" ca="1">GetPin_RA8D1_32SD_MIPI</f>
        <v>0</v>
      </c>
      <c r="AT92" cm="1">
        <f t="array" aca="1" ref="AT92" ca="1">GetPin_RA8D1_32SD_MIPI</f>
        <v>0</v>
      </c>
      <c r="AU92" cm="1">
        <f t="array" aca="1" ref="AU92" ca="1">GetPin_RA8D1_32SD_MIPI</f>
        <v>0</v>
      </c>
      <c r="AV92" cm="1">
        <f t="array" aca="1" ref="AV92" ca="1">GetPin_RA8D1_32SD_MIPI</f>
        <v>0</v>
      </c>
      <c r="AW92" cm="1">
        <f t="array" aca="1" ref="AW92" ca="1">GetPin_RA8D1_32SD_MIPI</f>
        <v>0</v>
      </c>
      <c r="AX92" cm="1">
        <f t="array" aca="1" ref="AX92" ca="1">GetPin_RA8D1_32SD_MIPI</f>
        <v>0</v>
      </c>
      <c r="AY92" cm="1">
        <f t="array" aca="1" ref="AY92" ca="1">GetPin_RA8D1_32SD_MIPI</f>
        <v>0</v>
      </c>
      <c r="AZ92" cm="1">
        <f t="array" aca="1" ref="AZ92" ca="1">GetPin_RA8D1_32SD_MIPI</f>
        <v>0</v>
      </c>
      <c r="BA92" cm="1">
        <f t="array" aca="1" ref="BA92" ca="1">GetPin_RA8D1_32SD_MIPI</f>
        <v>0</v>
      </c>
      <c r="BB92" cm="1">
        <f t="array" aca="1" ref="BB92" ca="1">GetPin_RA8D1_32SD_MIPI</f>
        <v>0</v>
      </c>
      <c r="BC92" cm="1">
        <f t="array" aca="1" ref="BC92" ca="1">GetPin_RA8D1_32SD_MIPI</f>
        <v>0</v>
      </c>
      <c r="BD92" cm="1">
        <f t="array" aca="1" ref="BD92" ca="1">GetPin_RA8D1_32SD_MIPI</f>
        <v>0</v>
      </c>
      <c r="BG92">
        <v>87</v>
      </c>
    </row>
    <row r="93" spans="17:59" x14ac:dyDescent="0.25">
      <c r="Q93">
        <f>IF(ISBLANK(BoardBTB!Q93),-1,(COUNTIF(U93:BD93,4)*4+IF(COUNTIF(U93:BD93,2),1,0)*2+IF(COUNTIF(U93:BD93,1),1,0)))</f>
        <v>-1</v>
      </c>
      <c r="R93">
        <f>IF(ISBLANK(BoardBTB!R93),-1,(COUNTIF(U93:BD93,4)*4+IF(COUNTIF(U93:BD93,2),1,0)*2+IF(COUNTIF(U93:BD93,1),1,0)))</f>
        <v>-1</v>
      </c>
      <c r="S93">
        <f>IF(ISBLANK(BoardBTB!S93),-1,(COUNTIF(U93:BD93,4)*4+IF(COUNTIF(U93:BD93,2),1,0)*2+IF(COUNTIF(U93:BD93,1),1,0)))</f>
        <v>-1</v>
      </c>
      <c r="T93">
        <f ca="1">IF(ISBLANK(BoardBTB!T93),-1,(COUNTIF(U93:BD93,4)*4+IF(COUNTIF(U93:BD93,2),1,0)*2+IF(COUNTIF(U93:BD93,1),1,0)))</f>
        <v>0</v>
      </c>
      <c r="U93" cm="1">
        <f t="array" aca="1" ref="U93" ca="1">GetPin_RA8D1_32SD_MIPI</f>
        <v>0</v>
      </c>
      <c r="V93" cm="1">
        <f t="array" aca="1" ref="V93" ca="1">GetPin_RA8D1_32SD_MIPI</f>
        <v>0</v>
      </c>
      <c r="W93" cm="1">
        <f t="array" aca="1" ref="W93" ca="1">GetPin_RA8D1_32SD_MIPI</f>
        <v>0</v>
      </c>
      <c r="X93" cm="1">
        <f t="array" aca="1" ref="X93" ca="1">GetPin_RA8D1_32SD_MIPI</f>
        <v>0</v>
      </c>
      <c r="Y93" cm="1">
        <f t="array" aca="1" ref="Y93" ca="1">GetPin_RA8D1_32SD_MIPI</f>
        <v>0</v>
      </c>
      <c r="Z93" cm="1">
        <f t="array" aca="1" ref="Z93" ca="1">GetPin_RA8D1_32SD_MIPI</f>
        <v>0</v>
      </c>
      <c r="AA93" cm="1">
        <f t="array" aca="1" ref="AA93" ca="1">GetPin_RA8D1_32SD_MIPI</f>
        <v>0</v>
      </c>
      <c r="AB93" cm="1">
        <f t="array" aca="1" ref="AB93" ca="1">GetPin_RA8D1_32SD_MIPI</f>
        <v>0</v>
      </c>
      <c r="AC93" cm="1">
        <f t="array" aca="1" ref="AC93" ca="1">GetPin_RA8D1_32SD_MIPI</f>
        <v>0</v>
      </c>
      <c r="AD93" cm="1">
        <f t="array" aca="1" ref="AD93" ca="1">GetPin_RA8D1_32SD_MIPI</f>
        <v>0</v>
      </c>
      <c r="AE93" cm="1">
        <f t="array" aca="1" ref="AE93" ca="1">GetPin_RA8D1_32SD_MIPI</f>
        <v>0</v>
      </c>
      <c r="AF93" cm="1">
        <f t="array" aca="1" ref="AF93" ca="1">GetPin_RA8D1_32SD_MIPI</f>
        <v>0</v>
      </c>
      <c r="AG93" cm="1">
        <f t="array" aca="1" ref="AG93" ca="1">GetPin_RA8D1_32SD_MIPI</f>
        <v>0</v>
      </c>
      <c r="AH93" cm="1">
        <f t="array" aca="1" ref="AH93" ca="1">GetPin_RA8D1_32SD_MIPI</f>
        <v>0</v>
      </c>
      <c r="AI93" cm="1">
        <f t="array" aca="1" ref="AI93" ca="1">GetPin_RA8D1_32SD_MIPI</f>
        <v>0</v>
      </c>
      <c r="AJ93" cm="1">
        <f t="array" aca="1" ref="AJ93" ca="1">GetPin_RA8D1_32SD_MIPI</f>
        <v>0</v>
      </c>
      <c r="AK93" cm="1">
        <f t="array" aca="1" ref="AK93" ca="1">GetPin_RA8D1_32SD_MIPI</f>
        <v>0</v>
      </c>
      <c r="AL93" cm="1">
        <f t="array" aca="1" ref="AL93" ca="1">GetPin_RA8D1_32SD_MIPI</f>
        <v>0</v>
      </c>
      <c r="AM93" cm="1">
        <f t="array" aca="1" ref="AM93" ca="1">GetPin_RA8D1_32SD_MIPI</f>
        <v>0</v>
      </c>
      <c r="AN93" cm="1">
        <f t="array" aca="1" ref="AN93" ca="1">GetPin_RA8D1_32SD_MIPI</f>
        <v>0</v>
      </c>
      <c r="AO93" cm="1">
        <f t="array" aca="1" ref="AO93" ca="1">GetPin_RA8D1_32SD_MIPI</f>
        <v>0</v>
      </c>
      <c r="AP93" cm="1">
        <f t="array" aca="1" ref="AP93" ca="1">GetPin_RA8D1_32SD_MIPI</f>
        <v>0</v>
      </c>
      <c r="AQ93" cm="1">
        <f t="array" aca="1" ref="AQ93" ca="1">GetPin_RA8D1_32SD_MIPI</f>
        <v>0</v>
      </c>
      <c r="AR93" cm="1">
        <f t="array" aca="1" ref="AR93" ca="1">GetPin_RA8D1_32SD_MIPI</f>
        <v>0</v>
      </c>
      <c r="AS93" cm="1">
        <f t="array" aca="1" ref="AS93" ca="1">GetPin_RA8D1_32SD_MIPI</f>
        <v>0</v>
      </c>
      <c r="AT93" cm="1">
        <f t="array" aca="1" ref="AT93" ca="1">GetPin_RA8D1_32SD_MIPI</f>
        <v>0</v>
      </c>
      <c r="AU93" cm="1">
        <f t="array" aca="1" ref="AU93" ca="1">GetPin_RA8D1_32SD_MIPI</f>
        <v>0</v>
      </c>
      <c r="AV93" cm="1">
        <f t="array" aca="1" ref="AV93" ca="1">GetPin_RA8D1_32SD_MIPI</f>
        <v>0</v>
      </c>
      <c r="AW93" cm="1">
        <f t="array" aca="1" ref="AW93" ca="1">GetPin_RA8D1_32SD_MIPI</f>
        <v>0</v>
      </c>
      <c r="AX93" cm="1">
        <f t="array" aca="1" ref="AX93" ca="1">GetPin_RA8D1_32SD_MIPI</f>
        <v>0</v>
      </c>
      <c r="AY93" cm="1">
        <f t="array" aca="1" ref="AY93" ca="1">GetPin_RA8D1_32SD_MIPI</f>
        <v>0</v>
      </c>
      <c r="AZ93" cm="1">
        <f t="array" aca="1" ref="AZ93" ca="1">GetPin_RA8D1_32SD_MIPI</f>
        <v>0</v>
      </c>
      <c r="BA93" cm="1">
        <f t="array" aca="1" ref="BA93" ca="1">GetPin_RA8D1_32SD_MIPI</f>
        <v>0</v>
      </c>
      <c r="BB93" cm="1">
        <f t="array" aca="1" ref="BB93" ca="1">GetPin_RA8D1_32SD_MIPI</f>
        <v>0</v>
      </c>
      <c r="BC93" cm="1">
        <f t="array" aca="1" ref="BC93" ca="1">GetPin_RA8D1_32SD_MIPI</f>
        <v>0</v>
      </c>
      <c r="BD93" cm="1">
        <f t="array" aca="1" ref="BD93" ca="1">GetPin_RA8D1_32SD_MIPI</f>
        <v>0</v>
      </c>
      <c r="BG93">
        <v>100</v>
      </c>
    </row>
    <row r="94" spans="17:59" x14ac:dyDescent="0.25">
      <c r="Q94">
        <f>IF(ISBLANK(BoardBTB!Q94),-1,(COUNTIF(U94:BD94,4)*4+IF(COUNTIF(U94:BD94,2),1,0)*2+IF(COUNTIF(U94:BD94,1),1,0)))</f>
        <v>-1</v>
      </c>
      <c r="R94">
        <f>IF(ISBLANK(BoardBTB!R94),-1,(COUNTIF(U94:BD94,4)*4+IF(COUNTIF(U94:BD94,2),1,0)*2+IF(COUNTIF(U94:BD94,1),1,0)))</f>
        <v>-1</v>
      </c>
      <c r="S94">
        <f>IF(ISBLANK(BoardBTB!S94),-1,(COUNTIF(U94:BD94,4)*4+IF(COUNTIF(U94:BD94,2),1,0)*2+IF(COUNTIF(U94:BD94,1),1,0)))</f>
        <v>-1</v>
      </c>
      <c r="T94">
        <f ca="1">IF(ISBLANK(BoardBTB!T94),-1,(COUNTIF(U94:BD94,4)*4+IF(COUNTIF(U94:BD94,2),1,0)*2+IF(COUNTIF(U94:BD94,1),1,0)))</f>
        <v>0</v>
      </c>
      <c r="U94" cm="1">
        <f t="array" aca="1" ref="U94" ca="1">GetPin_RA8D1_32SD_MIPI</f>
        <v>0</v>
      </c>
      <c r="V94" cm="1">
        <f t="array" aca="1" ref="V94" ca="1">GetPin_RA8D1_32SD_MIPI</f>
        <v>0</v>
      </c>
      <c r="W94" cm="1">
        <f t="array" aca="1" ref="W94" ca="1">GetPin_RA8D1_32SD_MIPI</f>
        <v>0</v>
      </c>
      <c r="X94" cm="1">
        <f t="array" aca="1" ref="X94" ca="1">GetPin_RA8D1_32SD_MIPI</f>
        <v>0</v>
      </c>
      <c r="Y94" cm="1">
        <f t="array" aca="1" ref="Y94" ca="1">GetPin_RA8D1_32SD_MIPI</f>
        <v>0</v>
      </c>
      <c r="Z94" cm="1">
        <f t="array" aca="1" ref="Z94" ca="1">GetPin_RA8D1_32SD_MIPI</f>
        <v>0</v>
      </c>
      <c r="AA94" cm="1">
        <f t="array" aca="1" ref="AA94" ca="1">GetPin_RA8D1_32SD_MIPI</f>
        <v>0</v>
      </c>
      <c r="AB94" cm="1">
        <f t="array" aca="1" ref="AB94" ca="1">GetPin_RA8D1_32SD_MIPI</f>
        <v>0</v>
      </c>
      <c r="AC94" cm="1">
        <f t="array" aca="1" ref="AC94" ca="1">GetPin_RA8D1_32SD_MIPI</f>
        <v>0</v>
      </c>
      <c r="AD94" cm="1">
        <f t="array" aca="1" ref="AD94" ca="1">GetPin_RA8D1_32SD_MIPI</f>
        <v>0</v>
      </c>
      <c r="AE94" cm="1">
        <f t="array" aca="1" ref="AE94" ca="1">GetPin_RA8D1_32SD_MIPI</f>
        <v>0</v>
      </c>
      <c r="AF94" cm="1">
        <f t="array" aca="1" ref="AF94" ca="1">GetPin_RA8D1_32SD_MIPI</f>
        <v>0</v>
      </c>
      <c r="AG94" cm="1">
        <f t="array" aca="1" ref="AG94" ca="1">GetPin_RA8D1_32SD_MIPI</f>
        <v>0</v>
      </c>
      <c r="AH94" cm="1">
        <f t="array" aca="1" ref="AH94" ca="1">GetPin_RA8D1_32SD_MIPI</f>
        <v>0</v>
      </c>
      <c r="AI94" cm="1">
        <f t="array" aca="1" ref="AI94" ca="1">GetPin_RA8D1_32SD_MIPI</f>
        <v>0</v>
      </c>
      <c r="AJ94" cm="1">
        <f t="array" aca="1" ref="AJ94" ca="1">GetPin_RA8D1_32SD_MIPI</f>
        <v>0</v>
      </c>
      <c r="AK94" cm="1">
        <f t="array" aca="1" ref="AK94" ca="1">GetPin_RA8D1_32SD_MIPI</f>
        <v>0</v>
      </c>
      <c r="AL94" cm="1">
        <f t="array" aca="1" ref="AL94" ca="1">GetPin_RA8D1_32SD_MIPI</f>
        <v>0</v>
      </c>
      <c r="AM94" cm="1">
        <f t="array" aca="1" ref="AM94" ca="1">GetPin_RA8D1_32SD_MIPI</f>
        <v>0</v>
      </c>
      <c r="AN94" cm="1">
        <f t="array" aca="1" ref="AN94" ca="1">GetPin_RA8D1_32SD_MIPI</f>
        <v>0</v>
      </c>
      <c r="AO94" cm="1">
        <f t="array" aca="1" ref="AO94" ca="1">GetPin_RA8D1_32SD_MIPI</f>
        <v>0</v>
      </c>
      <c r="AP94" cm="1">
        <f t="array" aca="1" ref="AP94" ca="1">GetPin_RA8D1_32SD_MIPI</f>
        <v>0</v>
      </c>
      <c r="AQ94" cm="1">
        <f t="array" aca="1" ref="AQ94" ca="1">GetPin_RA8D1_32SD_MIPI</f>
        <v>0</v>
      </c>
      <c r="AR94" cm="1">
        <f t="array" aca="1" ref="AR94" ca="1">GetPin_RA8D1_32SD_MIPI</f>
        <v>0</v>
      </c>
      <c r="AS94" cm="1">
        <f t="array" aca="1" ref="AS94" ca="1">GetPin_RA8D1_32SD_MIPI</f>
        <v>0</v>
      </c>
      <c r="AT94" cm="1">
        <f t="array" aca="1" ref="AT94" ca="1">GetPin_RA8D1_32SD_MIPI</f>
        <v>0</v>
      </c>
      <c r="AU94" cm="1">
        <f t="array" aca="1" ref="AU94" ca="1">GetPin_RA8D1_32SD_MIPI</f>
        <v>0</v>
      </c>
      <c r="AV94" cm="1">
        <f t="array" aca="1" ref="AV94" ca="1">GetPin_RA8D1_32SD_MIPI</f>
        <v>0</v>
      </c>
      <c r="AW94" cm="1">
        <f t="array" aca="1" ref="AW94" ca="1">GetPin_RA8D1_32SD_MIPI</f>
        <v>0</v>
      </c>
      <c r="AX94" cm="1">
        <f t="array" aca="1" ref="AX94" ca="1">GetPin_RA8D1_32SD_MIPI</f>
        <v>0</v>
      </c>
      <c r="AY94" cm="1">
        <f t="array" aca="1" ref="AY94" ca="1">GetPin_RA8D1_32SD_MIPI</f>
        <v>0</v>
      </c>
      <c r="AZ94" cm="1">
        <f t="array" aca="1" ref="AZ94" ca="1">GetPin_RA8D1_32SD_MIPI</f>
        <v>0</v>
      </c>
      <c r="BA94" cm="1">
        <f t="array" aca="1" ref="BA94" ca="1">GetPin_RA8D1_32SD_MIPI</f>
        <v>0</v>
      </c>
      <c r="BB94" cm="1">
        <f t="array" aca="1" ref="BB94" ca="1">GetPin_RA8D1_32SD_MIPI</f>
        <v>0</v>
      </c>
      <c r="BC94" cm="1">
        <f t="array" aca="1" ref="BC94" ca="1">GetPin_RA8D1_32SD_MIPI</f>
        <v>0</v>
      </c>
      <c r="BD94" cm="1">
        <f t="array" aca="1" ref="BD94" ca="1">GetPin_RA8D1_32SD_MIPI</f>
        <v>0</v>
      </c>
      <c r="BG94">
        <v>101</v>
      </c>
    </row>
    <row r="95" spans="17:59" x14ac:dyDescent="0.25">
      <c r="Q95">
        <f>IF(ISBLANK(BoardBTB!Q95),-1,(COUNTIF(U95:BD95,4)*4+IF(COUNTIF(U95:BD95,2),1,0)*2+IF(COUNTIF(U95:BD95,1),1,0)))</f>
        <v>-1</v>
      </c>
      <c r="R95">
        <f>IF(ISBLANK(BoardBTB!R95),-1,(COUNTIF(U95:BD95,4)*4+IF(COUNTIF(U95:BD95,2),1,0)*2+IF(COUNTIF(U95:BD95,1),1,0)))</f>
        <v>-1</v>
      </c>
      <c r="S95">
        <f>IF(ISBLANK(BoardBTB!S95),-1,(COUNTIF(U95:BD95,4)*4+IF(COUNTIF(U95:BD95,2),1,0)*2+IF(COUNTIF(U95:BD95,1),1,0)))</f>
        <v>-1</v>
      </c>
      <c r="T95">
        <f ca="1">IF(ISBLANK(BoardBTB!T95),-1,(COUNTIF(U95:BD95,4)*4+IF(COUNTIF(U95:BD95,2),1,0)*2+IF(COUNTIF(U95:BD95,1),1,0)))</f>
        <v>1</v>
      </c>
      <c r="U95" cm="1">
        <f t="array" aca="1" ref="U95" ca="1">GetPin_RA8D1_32SD_MIPI</f>
        <v>0</v>
      </c>
      <c r="V95" cm="1">
        <f t="array" aca="1" ref="V95" ca="1">GetPin_RA8D1_32SD_MIPI</f>
        <v>0</v>
      </c>
      <c r="W95" cm="1">
        <f t="array" aca="1" ref="W95" ca="1">GetPin_RA8D1_32SD_MIPI</f>
        <v>0</v>
      </c>
      <c r="X95" cm="1">
        <f t="array" aca="1" ref="X95" ca="1">GetPin_RA8D1_32SD_MIPI</f>
        <v>0</v>
      </c>
      <c r="Y95" cm="1">
        <f t="array" aca="1" ref="Y95" ca="1">GetPin_RA8D1_32SD_MIPI</f>
        <v>0</v>
      </c>
      <c r="Z95" cm="1">
        <f t="array" aca="1" ref="Z95" ca="1">GetPin_RA8D1_32SD_MIPI</f>
        <v>0</v>
      </c>
      <c r="AA95" cm="1">
        <f t="array" aca="1" ref="AA95" ca="1">GetPin_RA8D1_32SD_MIPI</f>
        <v>0</v>
      </c>
      <c r="AB95" cm="1">
        <f t="array" aca="1" ref="AB95" ca="1">GetPin_RA8D1_32SD_MIPI</f>
        <v>0</v>
      </c>
      <c r="AC95" cm="1">
        <f t="array" aca="1" ref="AC95" ca="1">GetPin_RA8D1_32SD_MIPI</f>
        <v>0</v>
      </c>
      <c r="AD95" cm="1">
        <f t="array" aca="1" ref="AD95" ca="1">GetPin_RA8D1_32SD_MIPI</f>
        <v>0</v>
      </c>
      <c r="AE95" cm="1">
        <f t="array" aca="1" ref="AE95" ca="1">GetPin_RA8D1_32SD_MIPI</f>
        <v>0</v>
      </c>
      <c r="AF95" cm="1">
        <f t="array" aca="1" ref="AF95" ca="1">GetPin_RA8D1_32SD_MIPI</f>
        <v>0</v>
      </c>
      <c r="AG95" cm="1">
        <f t="array" aca="1" ref="AG95" ca="1">GetPin_RA8D1_32SD_MIPI</f>
        <v>0</v>
      </c>
      <c r="AH95" cm="1">
        <f t="array" aca="1" ref="AH95" ca="1">GetPin_RA8D1_32SD_MIPI</f>
        <v>0</v>
      </c>
      <c r="AI95" cm="1">
        <f t="array" aca="1" ref="AI95" ca="1">GetPin_RA8D1_32SD_MIPI</f>
        <v>0</v>
      </c>
      <c r="AJ95" cm="1">
        <f t="array" aca="1" ref="AJ95" ca="1">GetPin_RA8D1_32SD_MIPI</f>
        <v>0</v>
      </c>
      <c r="AK95" cm="1">
        <f t="array" aca="1" ref="AK95" ca="1">GetPin_RA8D1_32SD_MIPI</f>
        <v>0</v>
      </c>
      <c r="AL95" cm="1">
        <f t="array" aca="1" ref="AL95" ca="1">GetPin_RA8D1_32SD_MIPI</f>
        <v>0</v>
      </c>
      <c r="AM95" cm="1">
        <f t="array" aca="1" ref="AM95" ca="1">GetPin_RA8D1_32SD_MIPI</f>
        <v>0</v>
      </c>
      <c r="AN95" cm="1">
        <f t="array" aca="1" ref="AN95" ca="1">GetPin_RA8D1_32SD_MIPI</f>
        <v>0</v>
      </c>
      <c r="AO95" cm="1">
        <f t="array" aca="1" ref="AO95" ca="1">GetPin_RA8D1_32SD_MIPI</f>
        <v>0</v>
      </c>
      <c r="AP95" cm="1">
        <f t="array" aca="1" ref="AP95" ca="1">GetPin_RA8D1_32SD_MIPI</f>
        <v>0</v>
      </c>
      <c r="AQ95" cm="1">
        <f t="array" aca="1" ref="AQ95" ca="1">GetPin_RA8D1_32SD_MIPI</f>
        <v>0</v>
      </c>
      <c r="AR95" cm="1">
        <f t="array" aca="1" ref="AR95" ca="1">GetPin_RA8D1_32SD_MIPI</f>
        <v>0</v>
      </c>
      <c r="AS95" cm="1">
        <f t="array" aca="1" ref="AS95" ca="1">GetPin_RA8D1_32SD_MIPI</f>
        <v>0</v>
      </c>
      <c r="AT95" cm="1">
        <f t="array" aca="1" ref="AT95" ca="1">GetPin_RA8D1_32SD_MIPI</f>
        <v>0</v>
      </c>
      <c r="AU95" cm="1">
        <f t="array" aca="1" ref="AU95" ca="1">GetPin_RA8D1_32SD_MIPI</f>
        <v>1</v>
      </c>
      <c r="AV95" cm="1">
        <f t="array" aca="1" ref="AV95" ca="1">GetPin_RA8D1_32SD_MIPI</f>
        <v>0</v>
      </c>
      <c r="AW95" cm="1">
        <f t="array" aca="1" ref="AW95" ca="1">GetPin_RA8D1_32SD_MIPI</f>
        <v>0</v>
      </c>
      <c r="AX95" cm="1">
        <f t="array" aca="1" ref="AX95" ca="1">GetPin_RA8D1_32SD_MIPI</f>
        <v>0</v>
      </c>
      <c r="AY95" cm="1">
        <f t="array" aca="1" ref="AY95" ca="1">GetPin_RA8D1_32SD_MIPI</f>
        <v>0</v>
      </c>
      <c r="AZ95" cm="1">
        <f t="array" aca="1" ref="AZ95" ca="1">GetPin_RA8D1_32SD_MIPI</f>
        <v>0</v>
      </c>
      <c r="BA95" cm="1">
        <f t="array" aca="1" ref="BA95" ca="1">GetPin_RA8D1_32SD_MIPI</f>
        <v>0</v>
      </c>
      <c r="BB95" cm="1">
        <f t="array" aca="1" ref="BB95" ca="1">GetPin_RA8D1_32SD_MIPI</f>
        <v>0</v>
      </c>
      <c r="BC95" cm="1">
        <f t="array" aca="1" ref="BC95" ca="1">GetPin_RA8D1_32SD_MIPI</f>
        <v>0</v>
      </c>
      <c r="BD95" cm="1">
        <f t="array" aca="1" ref="BD95" ca="1">GetPin_RA8D1_32SD_MIPI</f>
        <v>0</v>
      </c>
      <c r="BG95">
        <v>116</v>
      </c>
    </row>
    <row r="96" spans="17:59" x14ac:dyDescent="0.25">
      <c r="Q96">
        <f>IF(ISBLANK(BoardBTB!Q96),-1,(COUNTIF(U96:BD96,4)*4+IF(COUNTIF(U96:BD96,2),1,0)*2+IF(COUNTIF(U96:BD96,1),1,0)))</f>
        <v>-1</v>
      </c>
      <c r="R96">
        <f>IF(ISBLANK(BoardBTB!R96),-1,(COUNTIF(U96:BD96,4)*4+IF(COUNTIF(U96:BD96,2),1,0)*2+IF(COUNTIF(U96:BD96,1),1,0)))</f>
        <v>-1</v>
      </c>
      <c r="S96">
        <f>IF(ISBLANK(BoardBTB!S96),-1,(COUNTIF(U96:BD96,4)*4+IF(COUNTIF(U96:BD96,2),1,0)*2+IF(COUNTIF(U96:BD96,1),1,0)))</f>
        <v>-1</v>
      </c>
      <c r="T96">
        <f ca="1">IF(ISBLANK(BoardBTB!T96),-1,(COUNTIF(U96:BD96,4)*4+IF(COUNTIF(U96:BD96,2),1,0)*2+IF(COUNTIF(U96:BD96,1),1,0)))</f>
        <v>1</v>
      </c>
      <c r="U96" cm="1">
        <f t="array" aca="1" ref="U96" ca="1">GetPin_RA8D1_32SD_MIPI</f>
        <v>0</v>
      </c>
      <c r="V96" cm="1">
        <f t="array" aca="1" ref="V96" ca="1">GetPin_RA8D1_32SD_MIPI</f>
        <v>0</v>
      </c>
      <c r="W96" cm="1">
        <f t="array" aca="1" ref="W96" ca="1">GetPin_RA8D1_32SD_MIPI</f>
        <v>0</v>
      </c>
      <c r="X96" cm="1">
        <f t="array" aca="1" ref="X96" ca="1">GetPin_RA8D1_32SD_MIPI</f>
        <v>0</v>
      </c>
      <c r="Y96" cm="1">
        <f t="array" aca="1" ref="Y96" ca="1">GetPin_RA8D1_32SD_MIPI</f>
        <v>0</v>
      </c>
      <c r="Z96" cm="1">
        <f t="array" aca="1" ref="Z96" ca="1">GetPin_RA8D1_32SD_MIPI</f>
        <v>0</v>
      </c>
      <c r="AA96" cm="1">
        <f t="array" aca="1" ref="AA96" ca="1">GetPin_RA8D1_32SD_MIPI</f>
        <v>0</v>
      </c>
      <c r="AB96" cm="1">
        <f t="array" aca="1" ref="AB96" ca="1">GetPin_RA8D1_32SD_MIPI</f>
        <v>0</v>
      </c>
      <c r="AC96" cm="1">
        <f t="array" aca="1" ref="AC96" ca="1">GetPin_RA8D1_32SD_MIPI</f>
        <v>0</v>
      </c>
      <c r="AD96" cm="1">
        <f t="array" aca="1" ref="AD96" ca="1">GetPin_RA8D1_32SD_MIPI</f>
        <v>0</v>
      </c>
      <c r="AE96" cm="1">
        <f t="array" aca="1" ref="AE96" ca="1">GetPin_RA8D1_32SD_MIPI</f>
        <v>0</v>
      </c>
      <c r="AF96" cm="1">
        <f t="array" aca="1" ref="AF96" ca="1">GetPin_RA8D1_32SD_MIPI</f>
        <v>0</v>
      </c>
      <c r="AG96" cm="1">
        <f t="array" aca="1" ref="AG96" ca="1">GetPin_RA8D1_32SD_MIPI</f>
        <v>0</v>
      </c>
      <c r="AH96" cm="1">
        <f t="array" aca="1" ref="AH96" ca="1">GetPin_RA8D1_32SD_MIPI</f>
        <v>0</v>
      </c>
      <c r="AI96" cm="1">
        <f t="array" aca="1" ref="AI96" ca="1">GetPin_RA8D1_32SD_MIPI</f>
        <v>0</v>
      </c>
      <c r="AJ96" cm="1">
        <f t="array" aca="1" ref="AJ96" ca="1">GetPin_RA8D1_32SD_MIPI</f>
        <v>0</v>
      </c>
      <c r="AK96" cm="1">
        <f t="array" aca="1" ref="AK96" ca="1">GetPin_RA8D1_32SD_MIPI</f>
        <v>0</v>
      </c>
      <c r="AL96" cm="1">
        <f t="array" aca="1" ref="AL96" ca="1">GetPin_RA8D1_32SD_MIPI</f>
        <v>0</v>
      </c>
      <c r="AM96" cm="1">
        <f t="array" aca="1" ref="AM96" ca="1">GetPin_RA8D1_32SD_MIPI</f>
        <v>0</v>
      </c>
      <c r="AN96" cm="1">
        <f t="array" aca="1" ref="AN96" ca="1">GetPin_RA8D1_32SD_MIPI</f>
        <v>0</v>
      </c>
      <c r="AO96" cm="1">
        <f t="array" aca="1" ref="AO96" ca="1">GetPin_RA8D1_32SD_MIPI</f>
        <v>0</v>
      </c>
      <c r="AP96" cm="1">
        <f t="array" aca="1" ref="AP96" ca="1">GetPin_RA8D1_32SD_MIPI</f>
        <v>0</v>
      </c>
      <c r="AQ96" cm="1">
        <f t="array" aca="1" ref="AQ96" ca="1">GetPin_RA8D1_32SD_MIPI</f>
        <v>0</v>
      </c>
      <c r="AR96" cm="1">
        <f t="array" aca="1" ref="AR96" ca="1">GetPin_RA8D1_32SD_MIPI</f>
        <v>0</v>
      </c>
      <c r="AS96" cm="1">
        <f t="array" aca="1" ref="AS96" ca="1">GetPin_RA8D1_32SD_MIPI</f>
        <v>0</v>
      </c>
      <c r="AT96" cm="1">
        <f t="array" aca="1" ref="AT96" ca="1">GetPin_RA8D1_32SD_MIPI</f>
        <v>0</v>
      </c>
      <c r="AU96" cm="1">
        <f t="array" aca="1" ref="AU96" ca="1">GetPin_RA8D1_32SD_MIPI</f>
        <v>1</v>
      </c>
      <c r="AV96" cm="1">
        <f t="array" aca="1" ref="AV96" ca="1">GetPin_RA8D1_32SD_MIPI</f>
        <v>0</v>
      </c>
      <c r="AW96" cm="1">
        <f t="array" aca="1" ref="AW96" ca="1">GetPin_RA8D1_32SD_MIPI</f>
        <v>0</v>
      </c>
      <c r="AX96" cm="1">
        <f t="array" aca="1" ref="AX96" ca="1">GetPin_RA8D1_32SD_MIPI</f>
        <v>0</v>
      </c>
      <c r="AY96" cm="1">
        <f t="array" aca="1" ref="AY96" ca="1">GetPin_RA8D1_32SD_MIPI</f>
        <v>0</v>
      </c>
      <c r="AZ96" cm="1">
        <f t="array" aca="1" ref="AZ96" ca="1">GetPin_RA8D1_32SD_MIPI</f>
        <v>0</v>
      </c>
      <c r="BA96" cm="1">
        <f t="array" aca="1" ref="BA96" ca="1">GetPin_RA8D1_32SD_MIPI</f>
        <v>0</v>
      </c>
      <c r="BB96" cm="1">
        <f t="array" aca="1" ref="BB96" ca="1">GetPin_RA8D1_32SD_MIPI</f>
        <v>0</v>
      </c>
      <c r="BC96" cm="1">
        <f t="array" aca="1" ref="BC96" ca="1">GetPin_RA8D1_32SD_MIPI</f>
        <v>0</v>
      </c>
      <c r="BD96" cm="1">
        <f t="array" aca="1" ref="BD96" ca="1">GetPin_RA8D1_32SD_MIPI</f>
        <v>0</v>
      </c>
      <c r="BG96">
        <v>117</v>
      </c>
    </row>
    <row r="97" spans="17:59" x14ac:dyDescent="0.25">
      <c r="Q97">
        <f>IF(ISBLANK(BoardBTB!Q97),-1,(COUNTIF(U97:BD97,4)*4+IF(COUNTIF(U97:BD97,2),1,0)*2+IF(COUNTIF(U97:BD97,1),1,0)))</f>
        <v>-1</v>
      </c>
      <c r="R97">
        <f>IF(ISBLANK(BoardBTB!R97),-1,(COUNTIF(U97:BD97,4)*4+IF(COUNTIF(U97:BD97,2),1,0)*2+IF(COUNTIF(U97:BD97,1),1,0)))</f>
        <v>-1</v>
      </c>
      <c r="S97">
        <f>IF(ISBLANK(BoardBTB!S97),-1,(COUNTIF(U97:BD97,4)*4+IF(COUNTIF(U97:BD97,2),1,0)*2+IF(COUNTIF(U97:BD97,1),1,0)))</f>
        <v>-1</v>
      </c>
      <c r="T97">
        <f ca="1">IF(ISBLANK(BoardBTB!T97),-1,(COUNTIF(U97:BD97,4)*4+IF(COUNTIF(U97:BD97,2),1,0)*2+IF(COUNTIF(U97:BD97,1),1,0)))</f>
        <v>1</v>
      </c>
      <c r="U97" cm="1">
        <f t="array" aca="1" ref="U97" ca="1">GetPin_RA8D1_32SD_MIPI</f>
        <v>0</v>
      </c>
      <c r="V97" cm="1">
        <f t="array" aca="1" ref="V97" ca="1">GetPin_RA8D1_32SD_MIPI</f>
        <v>0</v>
      </c>
      <c r="W97" cm="1">
        <f t="array" aca="1" ref="W97" ca="1">GetPin_RA8D1_32SD_MIPI</f>
        <v>0</v>
      </c>
      <c r="X97" cm="1">
        <f t="array" aca="1" ref="X97" ca="1">GetPin_RA8D1_32SD_MIPI</f>
        <v>0</v>
      </c>
      <c r="Y97" cm="1">
        <f t="array" aca="1" ref="Y97" ca="1">GetPin_RA8D1_32SD_MIPI</f>
        <v>0</v>
      </c>
      <c r="Z97" cm="1">
        <f t="array" aca="1" ref="Z97" ca="1">GetPin_RA8D1_32SD_MIPI</f>
        <v>0</v>
      </c>
      <c r="AA97" cm="1">
        <f t="array" aca="1" ref="AA97" ca="1">GetPin_RA8D1_32SD_MIPI</f>
        <v>0</v>
      </c>
      <c r="AB97" cm="1">
        <f t="array" aca="1" ref="AB97" ca="1">GetPin_RA8D1_32SD_MIPI</f>
        <v>0</v>
      </c>
      <c r="AC97" cm="1">
        <f t="array" aca="1" ref="AC97" ca="1">GetPin_RA8D1_32SD_MIPI</f>
        <v>0</v>
      </c>
      <c r="AD97" cm="1">
        <f t="array" aca="1" ref="AD97" ca="1">GetPin_RA8D1_32SD_MIPI</f>
        <v>0</v>
      </c>
      <c r="AE97" cm="1">
        <f t="array" aca="1" ref="AE97" ca="1">GetPin_RA8D1_32SD_MIPI</f>
        <v>0</v>
      </c>
      <c r="AF97" cm="1">
        <f t="array" aca="1" ref="AF97" ca="1">GetPin_RA8D1_32SD_MIPI</f>
        <v>0</v>
      </c>
      <c r="AG97" cm="1">
        <f t="array" aca="1" ref="AG97" ca="1">GetPin_RA8D1_32SD_MIPI</f>
        <v>0</v>
      </c>
      <c r="AH97" cm="1">
        <f t="array" aca="1" ref="AH97" ca="1">GetPin_RA8D1_32SD_MIPI</f>
        <v>0</v>
      </c>
      <c r="AI97" cm="1">
        <f t="array" aca="1" ref="AI97" ca="1">GetPin_RA8D1_32SD_MIPI</f>
        <v>0</v>
      </c>
      <c r="AJ97" cm="1">
        <f t="array" aca="1" ref="AJ97" ca="1">GetPin_RA8D1_32SD_MIPI</f>
        <v>0</v>
      </c>
      <c r="AK97" cm="1">
        <f t="array" aca="1" ref="AK97" ca="1">GetPin_RA8D1_32SD_MIPI</f>
        <v>0</v>
      </c>
      <c r="AL97" cm="1">
        <f t="array" aca="1" ref="AL97" ca="1">GetPin_RA8D1_32SD_MIPI</f>
        <v>0</v>
      </c>
      <c r="AM97" cm="1">
        <f t="array" aca="1" ref="AM97" ca="1">GetPin_RA8D1_32SD_MIPI</f>
        <v>0</v>
      </c>
      <c r="AN97" cm="1">
        <f t="array" aca="1" ref="AN97" ca="1">GetPin_RA8D1_32SD_MIPI</f>
        <v>0</v>
      </c>
      <c r="AO97" cm="1">
        <f t="array" aca="1" ref="AO97" ca="1">GetPin_RA8D1_32SD_MIPI</f>
        <v>0</v>
      </c>
      <c r="AP97" cm="1">
        <f t="array" aca="1" ref="AP97" ca="1">GetPin_RA8D1_32SD_MIPI</f>
        <v>0</v>
      </c>
      <c r="AQ97" cm="1">
        <f t="array" aca="1" ref="AQ97" ca="1">GetPin_RA8D1_32SD_MIPI</f>
        <v>0</v>
      </c>
      <c r="AR97" cm="1">
        <f t="array" aca="1" ref="AR97" ca="1">GetPin_RA8D1_32SD_MIPI</f>
        <v>0</v>
      </c>
      <c r="AS97" cm="1">
        <f t="array" aca="1" ref="AS97" ca="1">GetPin_RA8D1_32SD_MIPI</f>
        <v>0</v>
      </c>
      <c r="AT97" cm="1">
        <f t="array" aca="1" ref="AT97" ca="1">GetPin_RA8D1_32SD_MIPI</f>
        <v>0</v>
      </c>
      <c r="AU97" cm="1">
        <f t="array" aca="1" ref="AU97" ca="1">GetPin_RA8D1_32SD_MIPI</f>
        <v>1</v>
      </c>
      <c r="AV97" cm="1">
        <f t="array" aca="1" ref="AV97" ca="1">GetPin_RA8D1_32SD_MIPI</f>
        <v>0</v>
      </c>
      <c r="AW97" cm="1">
        <f t="array" aca="1" ref="AW97" ca="1">GetPin_RA8D1_32SD_MIPI</f>
        <v>0</v>
      </c>
      <c r="AX97" cm="1">
        <f t="array" aca="1" ref="AX97" ca="1">GetPin_RA8D1_32SD_MIPI</f>
        <v>0</v>
      </c>
      <c r="AY97" cm="1">
        <f t="array" aca="1" ref="AY97" ca="1">GetPin_RA8D1_32SD_MIPI</f>
        <v>0</v>
      </c>
      <c r="AZ97" cm="1">
        <f t="array" aca="1" ref="AZ97" ca="1">GetPin_RA8D1_32SD_MIPI</f>
        <v>0</v>
      </c>
      <c r="BA97" cm="1">
        <f t="array" aca="1" ref="BA97" ca="1">GetPin_RA8D1_32SD_MIPI</f>
        <v>0</v>
      </c>
      <c r="BB97" cm="1">
        <f t="array" aca="1" ref="BB97" ca="1">GetPin_RA8D1_32SD_MIPI</f>
        <v>0</v>
      </c>
      <c r="BC97" cm="1">
        <f t="array" aca="1" ref="BC97" ca="1">GetPin_RA8D1_32SD_MIPI</f>
        <v>0</v>
      </c>
      <c r="BD97" cm="1">
        <f t="array" aca="1" ref="BD97" ca="1">GetPin_RA8D1_32SD_MIPI</f>
        <v>0</v>
      </c>
      <c r="BG97">
        <v>118</v>
      </c>
    </row>
    <row r="98" spans="17:59" x14ac:dyDescent="0.25">
      <c r="Q98">
        <f>IF(ISBLANK(BoardBTB!Q98),-1,(COUNTIF(U98:BD98,4)*4+IF(COUNTIF(U98:BD98,2),1,0)*2+IF(COUNTIF(U98:BD98,1),1,0)))</f>
        <v>-1</v>
      </c>
      <c r="R98">
        <f>IF(ISBLANK(BoardBTB!R98),-1,(COUNTIF(U98:BD98,4)*4+IF(COUNTIF(U98:BD98,2),1,0)*2+IF(COUNTIF(U98:BD98,1),1,0)))</f>
        <v>-1</v>
      </c>
      <c r="S98">
        <f>IF(ISBLANK(BoardBTB!S98),-1,(COUNTIF(U98:BD98,4)*4+IF(COUNTIF(U98:BD98,2),1,0)*2+IF(COUNTIF(U98:BD98,1),1,0)))</f>
        <v>-1</v>
      </c>
      <c r="T98">
        <f ca="1">IF(ISBLANK(BoardBTB!T98),-1,(COUNTIF(U98:BD98,4)*4+IF(COUNTIF(U98:BD98,2),1,0)*2+IF(COUNTIF(U98:BD98,1),1,0)))</f>
        <v>1</v>
      </c>
      <c r="U98" cm="1">
        <f t="array" aca="1" ref="U98" ca="1">GetPin_RA8D1_32SD_MIPI</f>
        <v>0</v>
      </c>
      <c r="V98" cm="1">
        <f t="array" aca="1" ref="V98" ca="1">GetPin_RA8D1_32SD_MIPI</f>
        <v>0</v>
      </c>
      <c r="W98" cm="1">
        <f t="array" aca="1" ref="W98" ca="1">GetPin_RA8D1_32SD_MIPI</f>
        <v>0</v>
      </c>
      <c r="X98" cm="1">
        <f t="array" aca="1" ref="X98" ca="1">GetPin_RA8D1_32SD_MIPI</f>
        <v>0</v>
      </c>
      <c r="Y98" cm="1">
        <f t="array" aca="1" ref="Y98" ca="1">GetPin_RA8D1_32SD_MIPI</f>
        <v>0</v>
      </c>
      <c r="Z98" cm="1">
        <f t="array" aca="1" ref="Z98" ca="1">GetPin_RA8D1_32SD_MIPI</f>
        <v>0</v>
      </c>
      <c r="AA98" cm="1">
        <f t="array" aca="1" ref="AA98" ca="1">GetPin_RA8D1_32SD_MIPI</f>
        <v>0</v>
      </c>
      <c r="AB98" cm="1">
        <f t="array" aca="1" ref="AB98" ca="1">GetPin_RA8D1_32SD_MIPI</f>
        <v>0</v>
      </c>
      <c r="AC98" cm="1">
        <f t="array" aca="1" ref="AC98" ca="1">GetPin_RA8D1_32SD_MIPI</f>
        <v>0</v>
      </c>
      <c r="AD98" cm="1">
        <f t="array" aca="1" ref="AD98" ca="1">GetPin_RA8D1_32SD_MIPI</f>
        <v>0</v>
      </c>
      <c r="AE98" cm="1">
        <f t="array" aca="1" ref="AE98" ca="1">GetPin_RA8D1_32SD_MIPI</f>
        <v>0</v>
      </c>
      <c r="AF98" cm="1">
        <f t="array" aca="1" ref="AF98" ca="1">GetPin_RA8D1_32SD_MIPI</f>
        <v>0</v>
      </c>
      <c r="AG98" cm="1">
        <f t="array" aca="1" ref="AG98" ca="1">GetPin_RA8D1_32SD_MIPI</f>
        <v>0</v>
      </c>
      <c r="AH98" cm="1">
        <f t="array" aca="1" ref="AH98" ca="1">GetPin_RA8D1_32SD_MIPI</f>
        <v>0</v>
      </c>
      <c r="AI98" cm="1">
        <f t="array" aca="1" ref="AI98" ca="1">GetPin_RA8D1_32SD_MIPI</f>
        <v>0</v>
      </c>
      <c r="AJ98" cm="1">
        <f t="array" aca="1" ref="AJ98" ca="1">GetPin_RA8D1_32SD_MIPI</f>
        <v>0</v>
      </c>
      <c r="AK98" cm="1">
        <f t="array" aca="1" ref="AK98" ca="1">GetPin_RA8D1_32SD_MIPI</f>
        <v>0</v>
      </c>
      <c r="AL98" cm="1">
        <f t="array" aca="1" ref="AL98" ca="1">GetPin_RA8D1_32SD_MIPI</f>
        <v>0</v>
      </c>
      <c r="AM98" cm="1">
        <f t="array" aca="1" ref="AM98" ca="1">GetPin_RA8D1_32SD_MIPI</f>
        <v>0</v>
      </c>
      <c r="AN98" cm="1">
        <f t="array" aca="1" ref="AN98" ca="1">GetPin_RA8D1_32SD_MIPI</f>
        <v>0</v>
      </c>
      <c r="AO98" cm="1">
        <f t="array" aca="1" ref="AO98" ca="1">GetPin_RA8D1_32SD_MIPI</f>
        <v>0</v>
      </c>
      <c r="AP98" cm="1">
        <f t="array" aca="1" ref="AP98" ca="1">GetPin_RA8D1_32SD_MIPI</f>
        <v>0</v>
      </c>
      <c r="AQ98" cm="1">
        <f t="array" aca="1" ref="AQ98" ca="1">GetPin_RA8D1_32SD_MIPI</f>
        <v>0</v>
      </c>
      <c r="AR98" cm="1">
        <f t="array" aca="1" ref="AR98" ca="1">GetPin_RA8D1_32SD_MIPI</f>
        <v>0</v>
      </c>
      <c r="AS98" cm="1">
        <f t="array" aca="1" ref="AS98" ca="1">GetPin_RA8D1_32SD_MIPI</f>
        <v>0</v>
      </c>
      <c r="AT98" cm="1">
        <f t="array" aca="1" ref="AT98" ca="1">GetPin_RA8D1_32SD_MIPI</f>
        <v>0</v>
      </c>
      <c r="AU98" cm="1">
        <f t="array" aca="1" ref="AU98" ca="1">GetPin_RA8D1_32SD_MIPI</f>
        <v>1</v>
      </c>
      <c r="AV98" cm="1">
        <f t="array" aca="1" ref="AV98" ca="1">GetPin_RA8D1_32SD_MIPI</f>
        <v>0</v>
      </c>
      <c r="AW98" cm="1">
        <f t="array" aca="1" ref="AW98" ca="1">GetPin_RA8D1_32SD_MIPI</f>
        <v>0</v>
      </c>
      <c r="AX98" cm="1">
        <f t="array" aca="1" ref="AX98" ca="1">GetPin_RA8D1_32SD_MIPI</f>
        <v>0</v>
      </c>
      <c r="AY98" cm="1">
        <f t="array" aca="1" ref="AY98" ca="1">GetPin_RA8D1_32SD_MIPI</f>
        <v>0</v>
      </c>
      <c r="AZ98" cm="1">
        <f t="array" aca="1" ref="AZ98" ca="1">GetPin_RA8D1_32SD_MIPI</f>
        <v>0</v>
      </c>
      <c r="BA98" cm="1">
        <f t="array" aca="1" ref="BA98" ca="1">GetPin_RA8D1_32SD_MIPI</f>
        <v>0</v>
      </c>
      <c r="BB98" cm="1">
        <f t="array" aca="1" ref="BB98" ca="1">GetPin_RA8D1_32SD_MIPI</f>
        <v>0</v>
      </c>
      <c r="BC98" cm="1">
        <f t="array" aca="1" ref="BC98" ca="1">GetPin_RA8D1_32SD_MIPI</f>
        <v>0</v>
      </c>
      <c r="BD98" cm="1">
        <f t="array" aca="1" ref="BD98" ca="1">GetPin_RA8D1_32SD_MIPI</f>
        <v>0</v>
      </c>
      <c r="BG98">
        <v>119</v>
      </c>
    </row>
    <row r="99" spans="17:59" x14ac:dyDescent="0.25">
      <c r="Q99">
        <f>IF(ISBLANK(BoardBTB!Q99),-1,(COUNTIF(U99:BD99,4)*4+IF(COUNTIF(U99:BD99,2),1,0)*2+IF(COUNTIF(U99:BD99,1),1,0)))</f>
        <v>-1</v>
      </c>
      <c r="R99">
        <f>IF(ISBLANK(BoardBTB!R99),-1,(COUNTIF(U99:BD99,4)*4+IF(COUNTIF(U99:BD99,2),1,0)*2+IF(COUNTIF(U99:BD99,1),1,0)))</f>
        <v>-1</v>
      </c>
      <c r="S99">
        <f>IF(ISBLANK(BoardBTB!S99),-1,(COUNTIF(U99:BD99,4)*4+IF(COUNTIF(U99:BD99,2),1,0)*2+IF(COUNTIF(U99:BD99,1),1,0)))</f>
        <v>-1</v>
      </c>
      <c r="T99">
        <f ca="1">IF(ISBLANK(BoardBTB!T99),-1,(COUNTIF(U99:BD99,4)*4+IF(COUNTIF(U99:BD99,2),1,0)*2+IF(COUNTIF(U99:BD99,1),1,0)))</f>
        <v>1</v>
      </c>
      <c r="U99" cm="1">
        <f t="array" aca="1" ref="U99" ca="1">GetPin_RA8D1_32SD_MIPI</f>
        <v>0</v>
      </c>
      <c r="V99" cm="1">
        <f t="array" aca="1" ref="V99" ca="1">GetPin_RA8D1_32SD_MIPI</f>
        <v>0</v>
      </c>
      <c r="W99" cm="1">
        <f t="array" aca="1" ref="W99" ca="1">GetPin_RA8D1_32SD_MIPI</f>
        <v>0</v>
      </c>
      <c r="X99" cm="1">
        <f t="array" aca="1" ref="X99" ca="1">GetPin_RA8D1_32SD_MIPI</f>
        <v>0</v>
      </c>
      <c r="Y99" cm="1">
        <f t="array" aca="1" ref="Y99" ca="1">GetPin_RA8D1_32SD_MIPI</f>
        <v>0</v>
      </c>
      <c r="Z99" cm="1">
        <f t="array" aca="1" ref="Z99" ca="1">GetPin_RA8D1_32SD_MIPI</f>
        <v>0</v>
      </c>
      <c r="AA99" cm="1">
        <f t="array" aca="1" ref="AA99" ca="1">GetPin_RA8D1_32SD_MIPI</f>
        <v>0</v>
      </c>
      <c r="AB99" cm="1">
        <f t="array" aca="1" ref="AB99" ca="1">GetPin_RA8D1_32SD_MIPI</f>
        <v>0</v>
      </c>
      <c r="AC99" cm="1">
        <f t="array" aca="1" ref="AC99" ca="1">GetPin_RA8D1_32SD_MIPI</f>
        <v>0</v>
      </c>
      <c r="AD99" cm="1">
        <f t="array" aca="1" ref="AD99" ca="1">GetPin_RA8D1_32SD_MIPI</f>
        <v>0</v>
      </c>
      <c r="AE99" cm="1">
        <f t="array" aca="1" ref="AE99" ca="1">GetPin_RA8D1_32SD_MIPI</f>
        <v>0</v>
      </c>
      <c r="AF99" cm="1">
        <f t="array" aca="1" ref="AF99" ca="1">GetPin_RA8D1_32SD_MIPI</f>
        <v>0</v>
      </c>
      <c r="AG99" cm="1">
        <f t="array" aca="1" ref="AG99" ca="1">GetPin_RA8D1_32SD_MIPI</f>
        <v>0</v>
      </c>
      <c r="AH99" cm="1">
        <f t="array" aca="1" ref="AH99" ca="1">GetPin_RA8D1_32SD_MIPI</f>
        <v>0</v>
      </c>
      <c r="AI99" cm="1">
        <f t="array" aca="1" ref="AI99" ca="1">GetPin_RA8D1_32SD_MIPI</f>
        <v>0</v>
      </c>
      <c r="AJ99" cm="1">
        <f t="array" aca="1" ref="AJ99" ca="1">GetPin_RA8D1_32SD_MIPI</f>
        <v>0</v>
      </c>
      <c r="AK99" cm="1">
        <f t="array" aca="1" ref="AK99" ca="1">GetPin_RA8D1_32SD_MIPI</f>
        <v>0</v>
      </c>
      <c r="AL99" cm="1">
        <f t="array" aca="1" ref="AL99" ca="1">GetPin_RA8D1_32SD_MIPI</f>
        <v>0</v>
      </c>
      <c r="AM99" cm="1">
        <f t="array" aca="1" ref="AM99" ca="1">GetPin_RA8D1_32SD_MIPI</f>
        <v>0</v>
      </c>
      <c r="AN99" cm="1">
        <f t="array" aca="1" ref="AN99" ca="1">GetPin_RA8D1_32SD_MIPI</f>
        <v>0</v>
      </c>
      <c r="AO99" cm="1">
        <f t="array" aca="1" ref="AO99" ca="1">GetPin_RA8D1_32SD_MIPI</f>
        <v>0</v>
      </c>
      <c r="AP99" cm="1">
        <f t="array" aca="1" ref="AP99" ca="1">GetPin_RA8D1_32SD_MIPI</f>
        <v>0</v>
      </c>
      <c r="AQ99" cm="1">
        <f t="array" aca="1" ref="AQ99" ca="1">GetPin_RA8D1_32SD_MIPI</f>
        <v>0</v>
      </c>
      <c r="AR99" cm="1">
        <f t="array" aca="1" ref="AR99" ca="1">GetPin_RA8D1_32SD_MIPI</f>
        <v>0</v>
      </c>
      <c r="AS99" cm="1">
        <f t="array" aca="1" ref="AS99" ca="1">GetPin_RA8D1_32SD_MIPI</f>
        <v>0</v>
      </c>
      <c r="AT99" cm="1">
        <f t="array" aca="1" ref="AT99" ca="1">GetPin_RA8D1_32SD_MIPI</f>
        <v>0</v>
      </c>
      <c r="AU99" cm="1">
        <f t="array" aca="1" ref="AU99" ca="1">GetPin_RA8D1_32SD_MIPI</f>
        <v>1</v>
      </c>
      <c r="AV99" cm="1">
        <f t="array" aca="1" ref="AV99" ca="1">GetPin_RA8D1_32SD_MIPI</f>
        <v>0</v>
      </c>
      <c r="AW99" cm="1">
        <f t="array" aca="1" ref="AW99" ca="1">GetPin_RA8D1_32SD_MIPI</f>
        <v>0</v>
      </c>
      <c r="AX99" cm="1">
        <f t="array" aca="1" ref="AX99" ca="1">GetPin_RA8D1_32SD_MIPI</f>
        <v>0</v>
      </c>
      <c r="AY99" cm="1">
        <f t="array" aca="1" ref="AY99" ca="1">GetPin_RA8D1_32SD_MIPI</f>
        <v>0</v>
      </c>
      <c r="AZ99" cm="1">
        <f t="array" aca="1" ref="AZ99" ca="1">GetPin_RA8D1_32SD_MIPI</f>
        <v>0</v>
      </c>
      <c r="BA99" cm="1">
        <f t="array" aca="1" ref="BA99" ca="1">GetPin_RA8D1_32SD_MIPI</f>
        <v>0</v>
      </c>
      <c r="BB99" cm="1">
        <f t="array" aca="1" ref="BB99" ca="1">GetPin_RA8D1_32SD_MIPI</f>
        <v>0</v>
      </c>
      <c r="BC99" cm="1">
        <f t="array" aca="1" ref="BC99" ca="1">GetPin_RA8D1_32SD_MIPI</f>
        <v>0</v>
      </c>
      <c r="BD99" cm="1">
        <f t="array" aca="1" ref="BD99" ca="1">GetPin_RA8D1_32SD_MIPI</f>
        <v>0</v>
      </c>
      <c r="BG99">
        <v>120</v>
      </c>
    </row>
    <row r="100" spans="17:59" x14ac:dyDescent="0.25">
      <c r="Q100">
        <f>IF(ISBLANK(BoardBTB!Q100),-1,(COUNTIF(U100:BD100,4)*4+IF(COUNTIF(U100:BD100,2),1,0)*2+IF(COUNTIF(U100:BD100,1),1,0)))</f>
        <v>-1</v>
      </c>
      <c r="R100">
        <f>IF(ISBLANK(BoardBTB!R100),-1,(COUNTIF(U100:BD100,4)*4+IF(COUNTIF(U100:BD100,2),1,0)*2+IF(COUNTIF(U100:BD100,1),1,0)))</f>
        <v>-1</v>
      </c>
      <c r="S100">
        <f>IF(ISBLANK(BoardBTB!S100),-1,(COUNTIF(U100:BD100,4)*4+IF(COUNTIF(U100:BD100,2),1,0)*2+IF(COUNTIF(U100:BD100,1),1,0)))</f>
        <v>-1</v>
      </c>
      <c r="T100">
        <f ca="1">IF(ISBLANK(BoardBTB!T100),-1,(COUNTIF(U100:BD100,4)*4+IF(COUNTIF(U100:BD100,2),1,0)*2+IF(COUNTIF(U100:BD100,1),1,0)))</f>
        <v>1</v>
      </c>
      <c r="U100" cm="1">
        <f t="array" aca="1" ref="U100" ca="1">GetPin_RA8D1_32SD_MIPI</f>
        <v>0</v>
      </c>
      <c r="V100" cm="1">
        <f t="array" aca="1" ref="V100" ca="1">GetPin_RA8D1_32SD_MIPI</f>
        <v>0</v>
      </c>
      <c r="W100" cm="1">
        <f t="array" aca="1" ref="W100" ca="1">GetPin_RA8D1_32SD_MIPI</f>
        <v>0</v>
      </c>
      <c r="X100" cm="1">
        <f t="array" aca="1" ref="X100" ca="1">GetPin_RA8D1_32SD_MIPI</f>
        <v>0</v>
      </c>
      <c r="Y100" cm="1">
        <f t="array" aca="1" ref="Y100" ca="1">GetPin_RA8D1_32SD_MIPI</f>
        <v>0</v>
      </c>
      <c r="Z100" cm="1">
        <f t="array" aca="1" ref="Z100" ca="1">GetPin_RA8D1_32SD_MIPI</f>
        <v>0</v>
      </c>
      <c r="AA100" cm="1">
        <f t="array" aca="1" ref="AA100" ca="1">GetPin_RA8D1_32SD_MIPI</f>
        <v>0</v>
      </c>
      <c r="AB100" cm="1">
        <f t="array" aca="1" ref="AB100" ca="1">GetPin_RA8D1_32SD_MIPI</f>
        <v>0</v>
      </c>
      <c r="AC100" cm="1">
        <f t="array" aca="1" ref="AC100" ca="1">GetPin_RA8D1_32SD_MIPI</f>
        <v>0</v>
      </c>
      <c r="AD100" cm="1">
        <f t="array" aca="1" ref="AD100" ca="1">GetPin_RA8D1_32SD_MIPI</f>
        <v>0</v>
      </c>
      <c r="AE100" cm="1">
        <f t="array" aca="1" ref="AE100" ca="1">GetPin_RA8D1_32SD_MIPI</f>
        <v>0</v>
      </c>
      <c r="AF100" cm="1">
        <f t="array" aca="1" ref="AF100" ca="1">GetPin_RA8D1_32SD_MIPI</f>
        <v>0</v>
      </c>
      <c r="AG100" cm="1">
        <f t="array" aca="1" ref="AG100" ca="1">GetPin_RA8D1_32SD_MIPI</f>
        <v>0</v>
      </c>
      <c r="AH100" cm="1">
        <f t="array" aca="1" ref="AH100" ca="1">GetPin_RA8D1_32SD_MIPI</f>
        <v>0</v>
      </c>
      <c r="AI100" cm="1">
        <f t="array" aca="1" ref="AI100" ca="1">GetPin_RA8D1_32SD_MIPI</f>
        <v>0</v>
      </c>
      <c r="AJ100" cm="1">
        <f t="array" aca="1" ref="AJ100" ca="1">GetPin_RA8D1_32SD_MIPI</f>
        <v>0</v>
      </c>
      <c r="AK100" cm="1">
        <f t="array" aca="1" ref="AK100" ca="1">GetPin_RA8D1_32SD_MIPI</f>
        <v>0</v>
      </c>
      <c r="AL100" cm="1">
        <f t="array" aca="1" ref="AL100" ca="1">GetPin_RA8D1_32SD_MIPI</f>
        <v>0</v>
      </c>
      <c r="AM100" cm="1">
        <f t="array" aca="1" ref="AM100" ca="1">GetPin_RA8D1_32SD_MIPI</f>
        <v>0</v>
      </c>
      <c r="AN100" cm="1">
        <f t="array" aca="1" ref="AN100" ca="1">GetPin_RA8D1_32SD_MIPI</f>
        <v>0</v>
      </c>
      <c r="AO100" cm="1">
        <f t="array" aca="1" ref="AO100" ca="1">GetPin_RA8D1_32SD_MIPI</f>
        <v>0</v>
      </c>
      <c r="AP100" cm="1">
        <f t="array" aca="1" ref="AP100" ca="1">GetPin_RA8D1_32SD_MIPI</f>
        <v>0</v>
      </c>
      <c r="AQ100" cm="1">
        <f t="array" aca="1" ref="AQ100" ca="1">GetPin_RA8D1_32SD_MIPI</f>
        <v>0</v>
      </c>
      <c r="AR100" cm="1">
        <f t="array" aca="1" ref="AR100" ca="1">GetPin_RA8D1_32SD_MIPI</f>
        <v>0</v>
      </c>
      <c r="AS100" cm="1">
        <f t="array" aca="1" ref="AS100" ca="1">GetPin_RA8D1_32SD_MIPI</f>
        <v>0</v>
      </c>
      <c r="AT100" cm="1">
        <f t="array" aca="1" ref="AT100" ca="1">GetPin_RA8D1_32SD_MIPI</f>
        <v>0</v>
      </c>
      <c r="AU100" cm="1">
        <f t="array" aca="1" ref="AU100" ca="1">GetPin_RA8D1_32SD_MIPI</f>
        <v>1</v>
      </c>
      <c r="AV100" cm="1">
        <f t="array" aca="1" ref="AV100" ca="1">GetPin_RA8D1_32SD_MIPI</f>
        <v>0</v>
      </c>
      <c r="AW100" cm="1">
        <f t="array" aca="1" ref="AW100" ca="1">GetPin_RA8D1_32SD_MIPI</f>
        <v>0</v>
      </c>
      <c r="AX100" cm="1">
        <f t="array" aca="1" ref="AX100" ca="1">GetPin_RA8D1_32SD_MIPI</f>
        <v>0</v>
      </c>
      <c r="AY100" cm="1">
        <f t="array" aca="1" ref="AY100" ca="1">GetPin_RA8D1_32SD_MIPI</f>
        <v>0</v>
      </c>
      <c r="AZ100" cm="1">
        <f t="array" aca="1" ref="AZ100" ca="1">GetPin_RA8D1_32SD_MIPI</f>
        <v>0</v>
      </c>
      <c r="BA100" cm="1">
        <f t="array" aca="1" ref="BA100" ca="1">GetPin_RA8D1_32SD_MIPI</f>
        <v>0</v>
      </c>
      <c r="BB100" cm="1">
        <f t="array" aca="1" ref="BB100" ca="1">GetPin_RA8D1_32SD_MIPI</f>
        <v>0</v>
      </c>
      <c r="BC100" cm="1">
        <f t="array" aca="1" ref="BC100" ca="1">GetPin_RA8D1_32SD_MIPI</f>
        <v>0</v>
      </c>
      <c r="BD100" cm="1">
        <f t="array" aca="1" ref="BD100" ca="1">GetPin_RA8D1_32SD_MIPI</f>
        <v>0</v>
      </c>
      <c r="BG100">
        <v>121</v>
      </c>
    </row>
    <row r="101" spans="17:59" x14ac:dyDescent="0.25">
      <c r="Q101">
        <f>IF(ISBLANK(BoardBTB!Q101),-1,(COUNTIF(U101:BD101,4)*4+IF(COUNTIF(U101:BD101,2),1,0)*2+IF(COUNTIF(U101:BD101,1),1,0)))</f>
        <v>-1</v>
      </c>
      <c r="R101">
        <f>IF(ISBLANK(BoardBTB!R101),-1,(COUNTIF(U101:BD101,4)*4+IF(COUNTIF(U101:BD101,2),1,0)*2+IF(COUNTIF(U101:BD101,1),1,0)))</f>
        <v>-1</v>
      </c>
      <c r="S101">
        <f>IF(ISBLANK(BoardBTB!S101),-1,(COUNTIF(U101:BD101,4)*4+IF(COUNTIF(U101:BD101,2),1,0)*2+IF(COUNTIF(U101:BD101,1),1,0)))</f>
        <v>-1</v>
      </c>
      <c r="T101">
        <f ca="1">IF(ISBLANK(BoardBTB!T101),-1,(COUNTIF(U101:BD101,4)*4+IF(COUNTIF(U101:BD101,2),1,0)*2+IF(COUNTIF(U101:BD101,1),1,0)))</f>
        <v>1</v>
      </c>
      <c r="U101" cm="1">
        <f t="array" aca="1" ref="U101" ca="1">GetPin_RA8D1_32SD_MIPI</f>
        <v>0</v>
      </c>
      <c r="V101" cm="1">
        <f t="array" aca="1" ref="V101" ca="1">GetPin_RA8D1_32SD_MIPI</f>
        <v>0</v>
      </c>
      <c r="W101" cm="1">
        <f t="array" aca="1" ref="W101" ca="1">GetPin_RA8D1_32SD_MIPI</f>
        <v>0</v>
      </c>
      <c r="X101" cm="1">
        <f t="array" aca="1" ref="X101" ca="1">GetPin_RA8D1_32SD_MIPI</f>
        <v>0</v>
      </c>
      <c r="Y101" cm="1">
        <f t="array" aca="1" ref="Y101" ca="1">GetPin_RA8D1_32SD_MIPI</f>
        <v>0</v>
      </c>
      <c r="Z101" cm="1">
        <f t="array" aca="1" ref="Z101" ca="1">GetPin_RA8D1_32SD_MIPI</f>
        <v>0</v>
      </c>
      <c r="AA101" cm="1">
        <f t="array" aca="1" ref="AA101" ca="1">GetPin_RA8D1_32SD_MIPI</f>
        <v>0</v>
      </c>
      <c r="AB101" cm="1">
        <f t="array" aca="1" ref="AB101" ca="1">GetPin_RA8D1_32SD_MIPI</f>
        <v>0</v>
      </c>
      <c r="AC101" cm="1">
        <f t="array" aca="1" ref="AC101" ca="1">GetPin_RA8D1_32SD_MIPI</f>
        <v>0</v>
      </c>
      <c r="AD101" cm="1">
        <f t="array" aca="1" ref="AD101" ca="1">GetPin_RA8D1_32SD_MIPI</f>
        <v>0</v>
      </c>
      <c r="AE101" cm="1">
        <f t="array" aca="1" ref="AE101" ca="1">GetPin_RA8D1_32SD_MIPI</f>
        <v>0</v>
      </c>
      <c r="AF101" cm="1">
        <f t="array" aca="1" ref="AF101" ca="1">GetPin_RA8D1_32SD_MIPI</f>
        <v>0</v>
      </c>
      <c r="AG101" cm="1">
        <f t="array" aca="1" ref="AG101" ca="1">GetPin_RA8D1_32SD_MIPI</f>
        <v>0</v>
      </c>
      <c r="AH101" cm="1">
        <f t="array" aca="1" ref="AH101" ca="1">GetPin_RA8D1_32SD_MIPI</f>
        <v>0</v>
      </c>
      <c r="AI101" cm="1">
        <f t="array" aca="1" ref="AI101" ca="1">GetPin_RA8D1_32SD_MIPI</f>
        <v>0</v>
      </c>
      <c r="AJ101" cm="1">
        <f t="array" aca="1" ref="AJ101" ca="1">GetPin_RA8D1_32SD_MIPI</f>
        <v>0</v>
      </c>
      <c r="AK101" cm="1">
        <f t="array" aca="1" ref="AK101" ca="1">GetPin_RA8D1_32SD_MIPI</f>
        <v>0</v>
      </c>
      <c r="AL101" cm="1">
        <f t="array" aca="1" ref="AL101" ca="1">GetPin_RA8D1_32SD_MIPI</f>
        <v>0</v>
      </c>
      <c r="AM101" cm="1">
        <f t="array" aca="1" ref="AM101" ca="1">GetPin_RA8D1_32SD_MIPI</f>
        <v>0</v>
      </c>
      <c r="AN101" cm="1">
        <f t="array" aca="1" ref="AN101" ca="1">GetPin_RA8D1_32SD_MIPI</f>
        <v>0</v>
      </c>
      <c r="AO101" cm="1">
        <f t="array" aca="1" ref="AO101" ca="1">GetPin_RA8D1_32SD_MIPI</f>
        <v>0</v>
      </c>
      <c r="AP101" cm="1">
        <f t="array" aca="1" ref="AP101" ca="1">GetPin_RA8D1_32SD_MIPI</f>
        <v>0</v>
      </c>
      <c r="AQ101" cm="1">
        <f t="array" aca="1" ref="AQ101" ca="1">GetPin_RA8D1_32SD_MIPI</f>
        <v>0</v>
      </c>
      <c r="AR101" cm="1">
        <f t="array" aca="1" ref="AR101" ca="1">GetPin_RA8D1_32SD_MIPI</f>
        <v>0</v>
      </c>
      <c r="AS101" cm="1">
        <f t="array" aca="1" ref="AS101" ca="1">GetPin_RA8D1_32SD_MIPI</f>
        <v>0</v>
      </c>
      <c r="AT101" cm="1">
        <f t="array" aca="1" ref="AT101" ca="1">GetPin_RA8D1_32SD_MIPI</f>
        <v>0</v>
      </c>
      <c r="AU101" cm="1">
        <f t="array" aca="1" ref="AU101" ca="1">GetPin_RA8D1_32SD_MIPI</f>
        <v>1</v>
      </c>
      <c r="AV101" cm="1">
        <f t="array" aca="1" ref="AV101" ca="1">GetPin_RA8D1_32SD_MIPI</f>
        <v>0</v>
      </c>
      <c r="AW101" cm="1">
        <f t="array" aca="1" ref="AW101" ca="1">GetPin_RA8D1_32SD_MIPI</f>
        <v>0</v>
      </c>
      <c r="AX101" cm="1">
        <f t="array" aca="1" ref="AX101" ca="1">GetPin_RA8D1_32SD_MIPI</f>
        <v>0</v>
      </c>
      <c r="AY101" cm="1">
        <f t="array" aca="1" ref="AY101" ca="1">GetPin_RA8D1_32SD_MIPI</f>
        <v>0</v>
      </c>
      <c r="AZ101" cm="1">
        <f t="array" aca="1" ref="AZ101" ca="1">GetPin_RA8D1_32SD_MIPI</f>
        <v>0</v>
      </c>
      <c r="BA101" cm="1">
        <f t="array" aca="1" ref="BA101" ca="1">GetPin_RA8D1_32SD_MIPI</f>
        <v>0</v>
      </c>
      <c r="BB101" cm="1">
        <f t="array" aca="1" ref="BB101" ca="1">GetPin_RA8D1_32SD_MIPI</f>
        <v>0</v>
      </c>
      <c r="BC101" cm="1">
        <f t="array" aca="1" ref="BC101" ca="1">GetPin_RA8D1_32SD_MIPI</f>
        <v>0</v>
      </c>
      <c r="BD101" cm="1">
        <f t="array" aca="1" ref="BD101" ca="1">GetPin_RA8D1_32SD_MIPI</f>
        <v>0</v>
      </c>
      <c r="BG101">
        <v>122</v>
      </c>
    </row>
    <row r="102" spans="17:59" x14ac:dyDescent="0.25">
      <c r="Q102">
        <f>IF(ISBLANK(BoardBTB!Q102),-1,(COUNTIF(U102:BD102,4)*4+IF(COUNTIF(U102:BD102,2),1,0)*2+IF(COUNTIF(U102:BD102,1),1,0)))</f>
        <v>-1</v>
      </c>
      <c r="R102">
        <f>IF(ISBLANK(BoardBTB!R102),-1,(COUNTIF(U102:BD102,4)*4+IF(COUNTIF(U102:BD102,2),1,0)*2+IF(COUNTIF(U102:BD102,1),1,0)))</f>
        <v>-1</v>
      </c>
      <c r="S102">
        <f>IF(ISBLANK(BoardBTB!S102),-1,(COUNTIF(U102:BD102,4)*4+IF(COUNTIF(U102:BD102,2),1,0)*2+IF(COUNTIF(U102:BD102,1),1,0)))</f>
        <v>-1</v>
      </c>
      <c r="T102">
        <f ca="1">IF(ISBLANK(BoardBTB!T102),-1,(COUNTIF(U102:BD102,4)*4+IF(COUNTIF(U102:BD102,2),1,0)*2+IF(COUNTIF(U102:BD102,1),1,0)))</f>
        <v>0</v>
      </c>
      <c r="U102" cm="1">
        <f t="array" aca="1" ref="U102" ca="1">GetPin_RA8D1_32SD_MIPI</f>
        <v>0</v>
      </c>
      <c r="V102" cm="1">
        <f t="array" aca="1" ref="V102" ca="1">GetPin_RA8D1_32SD_MIPI</f>
        <v>0</v>
      </c>
      <c r="W102" cm="1">
        <f t="array" aca="1" ref="W102" ca="1">GetPin_RA8D1_32SD_MIPI</f>
        <v>0</v>
      </c>
      <c r="X102" cm="1">
        <f t="array" aca="1" ref="X102" ca="1">GetPin_RA8D1_32SD_MIPI</f>
        <v>0</v>
      </c>
      <c r="Y102" cm="1">
        <f t="array" aca="1" ref="Y102" ca="1">GetPin_RA8D1_32SD_MIPI</f>
        <v>0</v>
      </c>
      <c r="Z102" cm="1">
        <f t="array" aca="1" ref="Z102" ca="1">GetPin_RA8D1_32SD_MIPI</f>
        <v>0</v>
      </c>
      <c r="AA102" cm="1">
        <f t="array" aca="1" ref="AA102" ca="1">GetPin_RA8D1_32SD_MIPI</f>
        <v>0</v>
      </c>
      <c r="AB102" cm="1">
        <f t="array" aca="1" ref="AB102" ca="1">GetPin_RA8D1_32SD_MIPI</f>
        <v>0</v>
      </c>
      <c r="AC102" cm="1">
        <f t="array" aca="1" ref="AC102" ca="1">GetPin_RA8D1_32SD_MIPI</f>
        <v>0</v>
      </c>
      <c r="AD102" cm="1">
        <f t="array" aca="1" ref="AD102" ca="1">GetPin_RA8D1_32SD_MIPI</f>
        <v>0</v>
      </c>
      <c r="AE102" cm="1">
        <f t="array" aca="1" ref="AE102" ca="1">GetPin_RA8D1_32SD_MIPI</f>
        <v>0</v>
      </c>
      <c r="AF102" cm="1">
        <f t="array" aca="1" ref="AF102" ca="1">GetPin_RA8D1_32SD_MIPI</f>
        <v>0</v>
      </c>
      <c r="AG102" cm="1">
        <f t="array" aca="1" ref="AG102" ca="1">GetPin_RA8D1_32SD_MIPI</f>
        <v>0</v>
      </c>
      <c r="AH102" cm="1">
        <f t="array" aca="1" ref="AH102" ca="1">GetPin_RA8D1_32SD_MIPI</f>
        <v>0</v>
      </c>
      <c r="AI102" cm="1">
        <f t="array" aca="1" ref="AI102" ca="1">GetPin_RA8D1_32SD_MIPI</f>
        <v>0</v>
      </c>
      <c r="AJ102" cm="1">
        <f t="array" aca="1" ref="AJ102" ca="1">GetPin_RA8D1_32SD_MIPI</f>
        <v>0</v>
      </c>
      <c r="AK102" cm="1">
        <f t="array" aca="1" ref="AK102" ca="1">GetPin_RA8D1_32SD_MIPI</f>
        <v>0</v>
      </c>
      <c r="AL102" cm="1">
        <f t="array" aca="1" ref="AL102" ca="1">GetPin_RA8D1_32SD_MIPI</f>
        <v>0</v>
      </c>
      <c r="AM102" cm="1">
        <f t="array" aca="1" ref="AM102" ca="1">GetPin_RA8D1_32SD_MIPI</f>
        <v>0</v>
      </c>
      <c r="AN102" cm="1">
        <f t="array" aca="1" ref="AN102" ca="1">GetPin_RA8D1_32SD_MIPI</f>
        <v>0</v>
      </c>
      <c r="AO102" cm="1">
        <f t="array" aca="1" ref="AO102" ca="1">GetPin_RA8D1_32SD_MIPI</f>
        <v>0</v>
      </c>
      <c r="AP102" cm="1">
        <f t="array" aca="1" ref="AP102" ca="1">GetPin_RA8D1_32SD_MIPI</f>
        <v>0</v>
      </c>
      <c r="AQ102" cm="1">
        <f t="array" aca="1" ref="AQ102" ca="1">GetPin_RA8D1_32SD_MIPI</f>
        <v>0</v>
      </c>
      <c r="AR102" cm="1">
        <f t="array" aca="1" ref="AR102" ca="1">GetPin_RA8D1_32SD_MIPI</f>
        <v>0</v>
      </c>
      <c r="AS102" cm="1">
        <f t="array" aca="1" ref="AS102" ca="1">GetPin_RA8D1_32SD_MIPI</f>
        <v>0</v>
      </c>
      <c r="AT102" cm="1">
        <f t="array" aca="1" ref="AT102" ca="1">GetPin_RA8D1_32SD_MIPI</f>
        <v>0</v>
      </c>
      <c r="AU102" cm="1">
        <f t="array" aca="1" ref="AU102" ca="1">GetPin_RA8D1_32SD_MIPI</f>
        <v>0</v>
      </c>
      <c r="AV102" cm="1">
        <f t="array" aca="1" ref="AV102" ca="1">GetPin_RA8D1_32SD_MIPI</f>
        <v>0</v>
      </c>
      <c r="AW102" cm="1">
        <f t="array" aca="1" ref="AW102" ca="1">GetPin_RA8D1_32SD_MIPI</f>
        <v>0</v>
      </c>
      <c r="AX102" cm="1">
        <f t="array" aca="1" ref="AX102" ca="1">GetPin_RA8D1_32SD_MIPI</f>
        <v>0</v>
      </c>
      <c r="AY102" cm="1">
        <f t="array" aca="1" ref="AY102" ca="1">GetPin_RA8D1_32SD_MIPI</f>
        <v>0</v>
      </c>
      <c r="AZ102" cm="1">
        <f t="array" aca="1" ref="AZ102" ca="1">GetPin_RA8D1_32SD_MIPI</f>
        <v>0</v>
      </c>
      <c r="BA102" cm="1">
        <f t="array" aca="1" ref="BA102" ca="1">GetPin_RA8D1_32SD_MIPI</f>
        <v>0</v>
      </c>
      <c r="BB102" cm="1">
        <f t="array" aca="1" ref="BB102" ca="1">GetPin_RA8D1_32SD_MIPI</f>
        <v>0</v>
      </c>
      <c r="BC102" cm="1">
        <f t="array" aca="1" ref="BC102" ca="1">GetPin_RA8D1_32SD_MIPI</f>
        <v>0</v>
      </c>
      <c r="BD102" cm="1">
        <f t="array" aca="1" ref="BD102" ca="1">GetPin_RA8D1_32SD_MIPI</f>
        <v>0</v>
      </c>
      <c r="BG102">
        <v>123</v>
      </c>
    </row>
    <row r="103" spans="17:59" x14ac:dyDescent="0.25">
      <c r="Q103">
        <f>IF(ISBLANK(BoardBTB!Q103),-1,(COUNTIF(U103:BD103,4)*4+IF(COUNTIF(U103:BD103,2),1,0)*2+IF(COUNTIF(U103:BD103,1),1,0)))</f>
        <v>-1</v>
      </c>
      <c r="R103">
        <f>IF(ISBLANK(BoardBTB!R103),-1,(COUNTIF(U103:BD103,4)*4+IF(COUNTIF(U103:BD103,2),1,0)*2+IF(COUNTIF(U103:BD103,1),1,0)))</f>
        <v>-1</v>
      </c>
      <c r="S103">
        <f>IF(ISBLANK(BoardBTB!S103),-1,(COUNTIF(U103:BD103,4)*4+IF(COUNTIF(U103:BD103,2),1,0)*2+IF(COUNTIF(U103:BD103,1),1,0)))</f>
        <v>-1</v>
      </c>
      <c r="T103">
        <f ca="1">IF(ISBLANK(BoardBTB!T103),-1,(COUNTIF(U103:BD103,4)*4+IF(COUNTIF(U103:BD103,2),1,0)*2+IF(COUNTIF(U103:BD103,1),1,0)))</f>
        <v>0</v>
      </c>
      <c r="U103" cm="1">
        <f t="array" aca="1" ref="U103" ca="1">GetPin_RA8D1_32SD_MIPI</f>
        <v>0</v>
      </c>
      <c r="V103" cm="1">
        <f t="array" aca="1" ref="V103" ca="1">GetPin_RA8D1_32SD_MIPI</f>
        <v>0</v>
      </c>
      <c r="W103" cm="1">
        <f t="array" aca="1" ref="W103" ca="1">GetPin_RA8D1_32SD_MIPI</f>
        <v>0</v>
      </c>
      <c r="X103" cm="1">
        <f t="array" aca="1" ref="X103" ca="1">GetPin_RA8D1_32SD_MIPI</f>
        <v>0</v>
      </c>
      <c r="Y103" cm="1">
        <f t="array" aca="1" ref="Y103" ca="1">GetPin_RA8D1_32SD_MIPI</f>
        <v>0</v>
      </c>
      <c r="Z103" cm="1">
        <f t="array" aca="1" ref="Z103" ca="1">GetPin_RA8D1_32SD_MIPI</f>
        <v>0</v>
      </c>
      <c r="AA103" cm="1">
        <f t="array" aca="1" ref="AA103" ca="1">GetPin_RA8D1_32SD_MIPI</f>
        <v>0</v>
      </c>
      <c r="AB103" cm="1">
        <f t="array" aca="1" ref="AB103" ca="1">GetPin_RA8D1_32SD_MIPI</f>
        <v>0</v>
      </c>
      <c r="AC103" cm="1">
        <f t="array" aca="1" ref="AC103" ca="1">GetPin_RA8D1_32SD_MIPI</f>
        <v>0</v>
      </c>
      <c r="AD103" cm="1">
        <f t="array" aca="1" ref="AD103" ca="1">GetPin_RA8D1_32SD_MIPI</f>
        <v>0</v>
      </c>
      <c r="AE103" cm="1">
        <f t="array" aca="1" ref="AE103" ca="1">GetPin_RA8D1_32SD_MIPI</f>
        <v>0</v>
      </c>
      <c r="AF103" cm="1">
        <f t="array" aca="1" ref="AF103" ca="1">GetPin_RA8D1_32SD_MIPI</f>
        <v>0</v>
      </c>
      <c r="AG103" cm="1">
        <f t="array" aca="1" ref="AG103" ca="1">GetPin_RA8D1_32SD_MIPI</f>
        <v>0</v>
      </c>
      <c r="AH103" cm="1">
        <f t="array" aca="1" ref="AH103" ca="1">GetPin_RA8D1_32SD_MIPI</f>
        <v>0</v>
      </c>
      <c r="AI103" cm="1">
        <f t="array" aca="1" ref="AI103" ca="1">GetPin_RA8D1_32SD_MIPI</f>
        <v>0</v>
      </c>
      <c r="AJ103" cm="1">
        <f t="array" aca="1" ref="AJ103" ca="1">GetPin_RA8D1_32SD_MIPI</f>
        <v>0</v>
      </c>
      <c r="AK103" cm="1">
        <f t="array" aca="1" ref="AK103" ca="1">GetPin_RA8D1_32SD_MIPI</f>
        <v>0</v>
      </c>
      <c r="AL103" cm="1">
        <f t="array" aca="1" ref="AL103" ca="1">GetPin_RA8D1_32SD_MIPI</f>
        <v>0</v>
      </c>
      <c r="AM103" cm="1">
        <f t="array" aca="1" ref="AM103" ca="1">GetPin_RA8D1_32SD_MIPI</f>
        <v>0</v>
      </c>
      <c r="AN103" cm="1">
        <f t="array" aca="1" ref="AN103" ca="1">GetPin_RA8D1_32SD_MIPI</f>
        <v>0</v>
      </c>
      <c r="AO103" cm="1">
        <f t="array" aca="1" ref="AO103" ca="1">GetPin_RA8D1_32SD_MIPI</f>
        <v>0</v>
      </c>
      <c r="AP103" cm="1">
        <f t="array" aca="1" ref="AP103" ca="1">GetPin_RA8D1_32SD_MIPI</f>
        <v>0</v>
      </c>
      <c r="AQ103" cm="1">
        <f t="array" aca="1" ref="AQ103" ca="1">GetPin_RA8D1_32SD_MIPI</f>
        <v>0</v>
      </c>
      <c r="AR103" cm="1">
        <f t="array" aca="1" ref="AR103" ca="1">GetPin_RA8D1_32SD_MIPI</f>
        <v>0</v>
      </c>
      <c r="AS103" cm="1">
        <f t="array" aca="1" ref="AS103" ca="1">GetPin_RA8D1_32SD_MIPI</f>
        <v>0</v>
      </c>
      <c r="AT103" cm="1">
        <f t="array" aca="1" ref="AT103" ca="1">GetPin_RA8D1_32SD_MIPI</f>
        <v>0</v>
      </c>
      <c r="AU103" cm="1">
        <f t="array" aca="1" ref="AU103" ca="1">GetPin_RA8D1_32SD_MIPI</f>
        <v>0</v>
      </c>
      <c r="AV103" cm="1">
        <f t="array" aca="1" ref="AV103" ca="1">GetPin_RA8D1_32SD_MIPI</f>
        <v>0</v>
      </c>
      <c r="AW103" cm="1">
        <f t="array" aca="1" ref="AW103" ca="1">GetPin_RA8D1_32SD_MIPI</f>
        <v>0</v>
      </c>
      <c r="AX103" cm="1">
        <f t="array" aca="1" ref="AX103" ca="1">GetPin_RA8D1_32SD_MIPI</f>
        <v>0</v>
      </c>
      <c r="AY103" cm="1">
        <f t="array" aca="1" ref="AY103" ca="1">GetPin_RA8D1_32SD_MIPI</f>
        <v>0</v>
      </c>
      <c r="AZ103" cm="1">
        <f t="array" aca="1" ref="AZ103" ca="1">GetPin_RA8D1_32SD_MIPI</f>
        <v>0</v>
      </c>
      <c r="BA103" cm="1">
        <f t="array" aca="1" ref="BA103" ca="1">GetPin_RA8D1_32SD_MIPI</f>
        <v>0</v>
      </c>
      <c r="BB103" cm="1">
        <f t="array" aca="1" ref="BB103" ca="1">GetPin_RA8D1_32SD_MIPI</f>
        <v>0</v>
      </c>
      <c r="BC103" cm="1">
        <f t="array" aca="1" ref="BC103" ca="1">GetPin_RA8D1_32SD_MIPI</f>
        <v>0</v>
      </c>
      <c r="BD103" cm="1">
        <f t="array" aca="1" ref="BD103" ca="1">GetPin_RA8D1_32SD_MIPI</f>
        <v>0</v>
      </c>
      <c r="BG103">
        <v>129</v>
      </c>
    </row>
    <row r="104" spans="17:59" x14ac:dyDescent="0.25">
      <c r="Q104">
        <f>IF(ISBLANK(BoardBTB!Q104),-1,(COUNTIF(U104:BD104,4)*4+IF(COUNTIF(U104:BD104,2),1,0)*2+IF(COUNTIF(U104:BD104,1),1,0)))</f>
        <v>-1</v>
      </c>
      <c r="R104">
        <f>IF(ISBLANK(BoardBTB!R104),-1,(COUNTIF(U104:BD104,4)*4+IF(COUNTIF(U104:BD104,2),1,0)*2+IF(COUNTIF(U104:BD104,1),1,0)))</f>
        <v>-1</v>
      </c>
      <c r="S104">
        <f>IF(ISBLANK(BoardBTB!S104),-1,(COUNTIF(U104:BD104,4)*4+IF(COUNTIF(U104:BD104,2),1,0)*2+IF(COUNTIF(U104:BD104,1),1,0)))</f>
        <v>-1</v>
      </c>
      <c r="T104">
        <f ca="1">IF(ISBLANK(BoardBTB!T104),-1,(COUNTIF(U104:BD104,4)*4+IF(COUNTIF(U104:BD104,2),1,0)*2+IF(COUNTIF(U104:BD104,1),1,0)))</f>
        <v>0</v>
      </c>
      <c r="U104" cm="1">
        <f t="array" aca="1" ref="U104" ca="1">GetPin_RA8D1_32SD_MIPI</f>
        <v>0</v>
      </c>
      <c r="V104" cm="1">
        <f t="array" aca="1" ref="V104" ca="1">GetPin_RA8D1_32SD_MIPI</f>
        <v>0</v>
      </c>
      <c r="W104" cm="1">
        <f t="array" aca="1" ref="W104" ca="1">GetPin_RA8D1_32SD_MIPI</f>
        <v>0</v>
      </c>
      <c r="X104" cm="1">
        <f t="array" aca="1" ref="X104" ca="1">GetPin_RA8D1_32SD_MIPI</f>
        <v>0</v>
      </c>
      <c r="Y104" cm="1">
        <f t="array" aca="1" ref="Y104" ca="1">GetPin_RA8D1_32SD_MIPI</f>
        <v>0</v>
      </c>
      <c r="Z104" cm="1">
        <f t="array" aca="1" ref="Z104" ca="1">GetPin_RA8D1_32SD_MIPI</f>
        <v>0</v>
      </c>
      <c r="AA104" cm="1">
        <f t="array" aca="1" ref="AA104" ca="1">GetPin_RA8D1_32SD_MIPI</f>
        <v>0</v>
      </c>
      <c r="AB104" cm="1">
        <f t="array" aca="1" ref="AB104" ca="1">GetPin_RA8D1_32SD_MIPI</f>
        <v>0</v>
      </c>
      <c r="AC104" cm="1">
        <f t="array" aca="1" ref="AC104" ca="1">GetPin_RA8D1_32SD_MIPI</f>
        <v>0</v>
      </c>
      <c r="AD104" cm="1">
        <f t="array" aca="1" ref="AD104" ca="1">GetPin_RA8D1_32SD_MIPI</f>
        <v>0</v>
      </c>
      <c r="AE104" cm="1">
        <f t="array" aca="1" ref="AE104" ca="1">GetPin_RA8D1_32SD_MIPI</f>
        <v>0</v>
      </c>
      <c r="AF104" cm="1">
        <f t="array" aca="1" ref="AF104" ca="1">GetPin_RA8D1_32SD_MIPI</f>
        <v>0</v>
      </c>
      <c r="AG104" cm="1">
        <f t="array" aca="1" ref="AG104" ca="1">GetPin_RA8D1_32SD_MIPI</f>
        <v>0</v>
      </c>
      <c r="AH104" cm="1">
        <f t="array" aca="1" ref="AH104" ca="1">GetPin_RA8D1_32SD_MIPI</f>
        <v>0</v>
      </c>
      <c r="AI104" cm="1">
        <f t="array" aca="1" ref="AI104" ca="1">GetPin_RA8D1_32SD_MIPI</f>
        <v>0</v>
      </c>
      <c r="AJ104" cm="1">
        <f t="array" aca="1" ref="AJ104" ca="1">GetPin_RA8D1_32SD_MIPI</f>
        <v>0</v>
      </c>
      <c r="AK104" cm="1">
        <f t="array" aca="1" ref="AK104" ca="1">GetPin_RA8D1_32SD_MIPI</f>
        <v>0</v>
      </c>
      <c r="AL104" cm="1">
        <f t="array" aca="1" ref="AL104" ca="1">GetPin_RA8D1_32SD_MIPI</f>
        <v>0</v>
      </c>
      <c r="AM104" cm="1">
        <f t="array" aca="1" ref="AM104" ca="1">GetPin_RA8D1_32SD_MIPI</f>
        <v>0</v>
      </c>
      <c r="AN104" cm="1">
        <f t="array" aca="1" ref="AN104" ca="1">GetPin_RA8D1_32SD_MIPI</f>
        <v>0</v>
      </c>
      <c r="AO104" cm="1">
        <f t="array" aca="1" ref="AO104" ca="1">GetPin_RA8D1_32SD_MIPI</f>
        <v>0</v>
      </c>
      <c r="AP104" cm="1">
        <f t="array" aca="1" ref="AP104" ca="1">GetPin_RA8D1_32SD_MIPI</f>
        <v>0</v>
      </c>
      <c r="AQ104" cm="1">
        <f t="array" aca="1" ref="AQ104" ca="1">GetPin_RA8D1_32SD_MIPI</f>
        <v>0</v>
      </c>
      <c r="AR104" cm="1">
        <f t="array" aca="1" ref="AR104" ca="1">GetPin_RA8D1_32SD_MIPI</f>
        <v>0</v>
      </c>
      <c r="AS104" cm="1">
        <f t="array" aca="1" ref="AS104" ca="1">GetPin_RA8D1_32SD_MIPI</f>
        <v>0</v>
      </c>
      <c r="AT104" cm="1">
        <f t="array" aca="1" ref="AT104" ca="1">GetPin_RA8D1_32SD_MIPI</f>
        <v>0</v>
      </c>
      <c r="AU104" cm="1">
        <f t="array" aca="1" ref="AU104" ca="1">GetPin_RA8D1_32SD_MIPI</f>
        <v>0</v>
      </c>
      <c r="AV104" cm="1">
        <f t="array" aca="1" ref="AV104" ca="1">GetPin_RA8D1_32SD_MIPI</f>
        <v>0</v>
      </c>
      <c r="AW104" cm="1">
        <f t="array" aca="1" ref="AW104" ca="1">GetPin_RA8D1_32SD_MIPI</f>
        <v>0</v>
      </c>
      <c r="AX104" cm="1">
        <f t="array" aca="1" ref="AX104" ca="1">GetPin_RA8D1_32SD_MIPI</f>
        <v>0</v>
      </c>
      <c r="AY104" cm="1">
        <f t="array" aca="1" ref="AY104" ca="1">GetPin_RA8D1_32SD_MIPI</f>
        <v>0</v>
      </c>
      <c r="AZ104" cm="1">
        <f t="array" aca="1" ref="AZ104" ca="1">GetPin_RA8D1_32SD_MIPI</f>
        <v>0</v>
      </c>
      <c r="BA104" cm="1">
        <f t="array" aca="1" ref="BA104" ca="1">GetPin_RA8D1_32SD_MIPI</f>
        <v>0</v>
      </c>
      <c r="BB104" cm="1">
        <f t="array" aca="1" ref="BB104" ca="1">GetPin_RA8D1_32SD_MIPI</f>
        <v>0</v>
      </c>
      <c r="BC104" cm="1">
        <f t="array" aca="1" ref="BC104" ca="1">GetPin_RA8D1_32SD_MIPI</f>
        <v>0</v>
      </c>
      <c r="BD104" cm="1">
        <f t="array" aca="1" ref="BD104" ca="1">GetPin_RA8D1_32SD_MIPI</f>
        <v>0</v>
      </c>
      <c r="BG104">
        <v>130</v>
      </c>
    </row>
    <row r="105" spans="17:59" x14ac:dyDescent="0.25">
      <c r="Q105">
        <f>IF(ISBLANK(BoardBTB!Q105),-1,(COUNTIF(U105:BD105,4)*4+IF(COUNTIF(U105:BD105,2),1,0)*2+IF(COUNTIF(U105:BD105,1),1,0)))</f>
        <v>-1</v>
      </c>
      <c r="R105">
        <f>IF(ISBLANK(BoardBTB!R105),-1,(COUNTIF(U105:BD105,4)*4+IF(COUNTIF(U105:BD105,2),1,0)*2+IF(COUNTIF(U105:BD105,1),1,0)))</f>
        <v>-1</v>
      </c>
      <c r="S105">
        <f>IF(ISBLANK(BoardBTB!S105),-1,(COUNTIF(U105:BD105,4)*4+IF(COUNTIF(U105:BD105,2),1,0)*2+IF(COUNTIF(U105:BD105,1),1,0)))</f>
        <v>-1</v>
      </c>
      <c r="T105">
        <f ca="1">IF(ISBLANK(BoardBTB!T105),-1,(COUNTIF(U105:BD105,4)*4+IF(COUNTIF(U105:BD105,2),1,0)*2+IF(COUNTIF(U105:BD105,1),1,0)))</f>
        <v>0</v>
      </c>
      <c r="U105" cm="1">
        <f t="array" aca="1" ref="U105" ca="1">GetPin_RA8D1_32SD_MIPI</f>
        <v>0</v>
      </c>
      <c r="V105" cm="1">
        <f t="array" aca="1" ref="V105" ca="1">GetPin_RA8D1_32SD_MIPI</f>
        <v>0</v>
      </c>
      <c r="W105" cm="1">
        <f t="array" aca="1" ref="W105" ca="1">GetPin_RA8D1_32SD_MIPI</f>
        <v>0</v>
      </c>
      <c r="X105" cm="1">
        <f t="array" aca="1" ref="X105" ca="1">GetPin_RA8D1_32SD_MIPI</f>
        <v>0</v>
      </c>
      <c r="Y105" cm="1">
        <f t="array" aca="1" ref="Y105" ca="1">GetPin_RA8D1_32SD_MIPI</f>
        <v>0</v>
      </c>
      <c r="Z105" cm="1">
        <f t="array" aca="1" ref="Z105" ca="1">GetPin_RA8D1_32SD_MIPI</f>
        <v>0</v>
      </c>
      <c r="AA105" cm="1">
        <f t="array" aca="1" ref="AA105" ca="1">GetPin_RA8D1_32SD_MIPI</f>
        <v>0</v>
      </c>
      <c r="AB105" cm="1">
        <f t="array" aca="1" ref="AB105" ca="1">GetPin_RA8D1_32SD_MIPI</f>
        <v>0</v>
      </c>
      <c r="AC105" cm="1">
        <f t="array" aca="1" ref="AC105" ca="1">GetPin_RA8D1_32SD_MIPI</f>
        <v>0</v>
      </c>
      <c r="AD105" cm="1">
        <f t="array" aca="1" ref="AD105" ca="1">GetPin_RA8D1_32SD_MIPI</f>
        <v>0</v>
      </c>
      <c r="AE105" cm="1">
        <f t="array" aca="1" ref="AE105" ca="1">GetPin_RA8D1_32SD_MIPI</f>
        <v>0</v>
      </c>
      <c r="AF105" cm="1">
        <f t="array" aca="1" ref="AF105" ca="1">GetPin_RA8D1_32SD_MIPI</f>
        <v>0</v>
      </c>
      <c r="AG105" cm="1">
        <f t="array" aca="1" ref="AG105" ca="1">GetPin_RA8D1_32SD_MIPI</f>
        <v>0</v>
      </c>
      <c r="AH105" cm="1">
        <f t="array" aca="1" ref="AH105" ca="1">GetPin_RA8D1_32SD_MIPI</f>
        <v>0</v>
      </c>
      <c r="AI105" cm="1">
        <f t="array" aca="1" ref="AI105" ca="1">GetPin_RA8D1_32SD_MIPI</f>
        <v>0</v>
      </c>
      <c r="AJ105" cm="1">
        <f t="array" aca="1" ref="AJ105" ca="1">GetPin_RA8D1_32SD_MIPI</f>
        <v>0</v>
      </c>
      <c r="AK105" cm="1">
        <f t="array" aca="1" ref="AK105" ca="1">GetPin_RA8D1_32SD_MIPI</f>
        <v>0</v>
      </c>
      <c r="AL105" cm="1">
        <f t="array" aca="1" ref="AL105" ca="1">GetPin_RA8D1_32SD_MIPI</f>
        <v>0</v>
      </c>
      <c r="AM105" cm="1">
        <f t="array" aca="1" ref="AM105" ca="1">GetPin_RA8D1_32SD_MIPI</f>
        <v>0</v>
      </c>
      <c r="AN105" cm="1">
        <f t="array" aca="1" ref="AN105" ca="1">GetPin_RA8D1_32SD_MIPI</f>
        <v>0</v>
      </c>
      <c r="AO105" cm="1">
        <f t="array" aca="1" ref="AO105" ca="1">GetPin_RA8D1_32SD_MIPI</f>
        <v>0</v>
      </c>
      <c r="AP105" cm="1">
        <f t="array" aca="1" ref="AP105" ca="1">GetPin_RA8D1_32SD_MIPI</f>
        <v>0</v>
      </c>
      <c r="AQ105" cm="1">
        <f t="array" aca="1" ref="AQ105" ca="1">GetPin_RA8D1_32SD_MIPI</f>
        <v>0</v>
      </c>
      <c r="AR105" cm="1">
        <f t="array" aca="1" ref="AR105" ca="1">GetPin_RA8D1_32SD_MIPI</f>
        <v>0</v>
      </c>
      <c r="AS105" cm="1">
        <f t="array" aca="1" ref="AS105" ca="1">GetPin_RA8D1_32SD_MIPI</f>
        <v>0</v>
      </c>
      <c r="AT105" cm="1">
        <f t="array" aca="1" ref="AT105" ca="1">GetPin_RA8D1_32SD_MIPI</f>
        <v>0</v>
      </c>
      <c r="AU105" cm="1">
        <f t="array" aca="1" ref="AU105" ca="1">GetPin_RA8D1_32SD_MIPI</f>
        <v>0</v>
      </c>
      <c r="AV105" cm="1">
        <f t="array" aca="1" ref="AV105" ca="1">GetPin_RA8D1_32SD_MIPI</f>
        <v>0</v>
      </c>
      <c r="AW105" cm="1">
        <f t="array" aca="1" ref="AW105" ca="1">GetPin_RA8D1_32SD_MIPI</f>
        <v>0</v>
      </c>
      <c r="AX105" cm="1">
        <f t="array" aca="1" ref="AX105" ca="1">GetPin_RA8D1_32SD_MIPI</f>
        <v>0</v>
      </c>
      <c r="AY105" cm="1">
        <f t="array" aca="1" ref="AY105" ca="1">GetPin_RA8D1_32SD_MIPI</f>
        <v>0</v>
      </c>
      <c r="AZ105" cm="1">
        <f t="array" aca="1" ref="AZ105" ca="1">GetPin_RA8D1_32SD_MIPI</f>
        <v>0</v>
      </c>
      <c r="BA105" cm="1">
        <f t="array" aca="1" ref="BA105" ca="1">GetPin_RA8D1_32SD_MIPI</f>
        <v>0</v>
      </c>
      <c r="BB105" cm="1">
        <f t="array" aca="1" ref="BB105" ca="1">GetPin_RA8D1_32SD_MIPI</f>
        <v>0</v>
      </c>
      <c r="BC105" cm="1">
        <f t="array" aca="1" ref="BC105" ca="1">GetPin_RA8D1_32SD_MIPI</f>
        <v>0</v>
      </c>
      <c r="BD105" cm="1">
        <f t="array" aca="1" ref="BD105" ca="1">GetPin_RA8D1_32SD_MIPI</f>
        <v>0</v>
      </c>
      <c r="BG105">
        <v>131</v>
      </c>
    </row>
    <row r="106" spans="17:59" x14ac:dyDescent="0.25">
      <c r="Q106">
        <f>IF(ISBLANK(BoardBTB!Q106),-1,(COUNTIF(U106:BD106,4)*4+IF(COUNTIF(U106:BD106,2),1,0)*2+IF(COUNTIF(U106:BD106,1),1,0)))</f>
        <v>-1</v>
      </c>
      <c r="R106">
        <f>IF(ISBLANK(BoardBTB!R106),-1,(COUNTIF(U106:BD106,4)*4+IF(COUNTIF(U106:BD106,2),1,0)*2+IF(COUNTIF(U106:BD106,1),1,0)))</f>
        <v>-1</v>
      </c>
      <c r="S106">
        <f>IF(ISBLANK(BoardBTB!S106),-1,(COUNTIF(U106:BD106,4)*4+IF(COUNTIF(U106:BD106,2),1,0)*2+IF(COUNTIF(U106:BD106,1),1,0)))</f>
        <v>-1</v>
      </c>
      <c r="T106">
        <f ca="1">IF(ISBLANK(BoardBTB!T106),-1,(COUNTIF(U106:BD106,4)*4+IF(COUNTIF(U106:BD106,2),1,0)*2+IF(COUNTIF(U106:BD106,1),1,0)))</f>
        <v>4</v>
      </c>
      <c r="U106" cm="1">
        <f t="array" aca="1" ref="U106" ca="1">GetPin_RA8D1_32SD_MIPI</f>
        <v>4</v>
      </c>
      <c r="V106" cm="1">
        <f t="array" aca="1" ref="V106" ca="1">GetPin_RA8D1_32SD_MIPI</f>
        <v>0</v>
      </c>
      <c r="W106" cm="1">
        <f t="array" aca="1" ref="W106" ca="1">GetPin_RA8D1_32SD_MIPI</f>
        <v>0</v>
      </c>
      <c r="X106" cm="1">
        <f t="array" aca="1" ref="X106" ca="1">GetPin_RA8D1_32SD_MIPI</f>
        <v>0</v>
      </c>
      <c r="Y106" cm="1">
        <f t="array" aca="1" ref="Y106" ca="1">GetPin_RA8D1_32SD_MIPI</f>
        <v>0</v>
      </c>
      <c r="Z106" cm="1">
        <f t="array" aca="1" ref="Z106" ca="1">GetPin_RA8D1_32SD_MIPI</f>
        <v>0</v>
      </c>
      <c r="AA106" cm="1">
        <f t="array" aca="1" ref="AA106" ca="1">GetPin_RA8D1_32SD_MIPI</f>
        <v>0</v>
      </c>
      <c r="AB106" cm="1">
        <f t="array" aca="1" ref="AB106" ca="1">GetPin_RA8D1_32SD_MIPI</f>
        <v>0</v>
      </c>
      <c r="AC106" cm="1">
        <f t="array" aca="1" ref="AC106" ca="1">GetPin_RA8D1_32SD_MIPI</f>
        <v>0</v>
      </c>
      <c r="AD106" cm="1">
        <f t="array" aca="1" ref="AD106" ca="1">GetPin_RA8D1_32SD_MIPI</f>
        <v>0</v>
      </c>
      <c r="AE106" cm="1">
        <f t="array" aca="1" ref="AE106" ca="1">GetPin_RA8D1_32SD_MIPI</f>
        <v>0</v>
      </c>
      <c r="AF106" cm="1">
        <f t="array" aca="1" ref="AF106" ca="1">GetPin_RA8D1_32SD_MIPI</f>
        <v>0</v>
      </c>
      <c r="AG106" cm="1">
        <f t="array" aca="1" ref="AG106" ca="1">GetPin_RA8D1_32SD_MIPI</f>
        <v>0</v>
      </c>
      <c r="AH106" cm="1">
        <f t="array" aca="1" ref="AH106" ca="1">GetPin_RA8D1_32SD_MIPI</f>
        <v>0</v>
      </c>
      <c r="AI106" cm="1">
        <f t="array" aca="1" ref="AI106" ca="1">GetPin_RA8D1_32SD_MIPI</f>
        <v>0</v>
      </c>
      <c r="AJ106" cm="1">
        <f t="array" aca="1" ref="AJ106" ca="1">GetPin_RA8D1_32SD_MIPI</f>
        <v>0</v>
      </c>
      <c r="AK106" cm="1">
        <f t="array" aca="1" ref="AK106" ca="1">GetPin_RA8D1_32SD_MIPI</f>
        <v>0</v>
      </c>
      <c r="AL106" cm="1">
        <f t="array" aca="1" ref="AL106" ca="1">GetPin_RA8D1_32SD_MIPI</f>
        <v>0</v>
      </c>
      <c r="AM106" cm="1">
        <f t="array" aca="1" ref="AM106" ca="1">GetPin_RA8D1_32SD_MIPI</f>
        <v>0</v>
      </c>
      <c r="AN106" cm="1">
        <f t="array" aca="1" ref="AN106" ca="1">GetPin_RA8D1_32SD_MIPI</f>
        <v>0</v>
      </c>
      <c r="AO106" cm="1">
        <f t="array" aca="1" ref="AO106" ca="1">GetPin_RA8D1_32SD_MIPI</f>
        <v>0</v>
      </c>
      <c r="AP106" cm="1">
        <f t="array" aca="1" ref="AP106" ca="1">GetPin_RA8D1_32SD_MIPI</f>
        <v>0</v>
      </c>
      <c r="AQ106" cm="1">
        <f t="array" aca="1" ref="AQ106" ca="1">GetPin_RA8D1_32SD_MIPI</f>
        <v>0</v>
      </c>
      <c r="AR106" cm="1">
        <f t="array" aca="1" ref="AR106" ca="1">GetPin_RA8D1_32SD_MIPI</f>
        <v>0</v>
      </c>
      <c r="AS106" cm="1">
        <f t="array" aca="1" ref="AS106" ca="1">GetPin_RA8D1_32SD_MIPI</f>
        <v>0</v>
      </c>
      <c r="AT106" cm="1">
        <f t="array" aca="1" ref="AT106" ca="1">GetPin_RA8D1_32SD_MIPI</f>
        <v>0</v>
      </c>
      <c r="AU106" cm="1">
        <f t="array" aca="1" ref="AU106" ca="1">GetPin_RA8D1_32SD_MIPI</f>
        <v>0</v>
      </c>
      <c r="AV106" cm="1">
        <f t="array" aca="1" ref="AV106" ca="1">GetPin_RA8D1_32SD_MIPI</f>
        <v>0</v>
      </c>
      <c r="AW106" cm="1">
        <f t="array" aca="1" ref="AW106" ca="1">GetPin_RA8D1_32SD_MIPI</f>
        <v>0</v>
      </c>
      <c r="AX106" cm="1">
        <f t="array" aca="1" ref="AX106" ca="1">GetPin_RA8D1_32SD_MIPI</f>
        <v>0</v>
      </c>
      <c r="AY106" cm="1">
        <f t="array" aca="1" ref="AY106" ca="1">GetPin_RA8D1_32SD_MIPI</f>
        <v>0</v>
      </c>
      <c r="AZ106" cm="1">
        <f t="array" aca="1" ref="AZ106" ca="1">GetPin_RA8D1_32SD_MIPI</f>
        <v>0</v>
      </c>
      <c r="BA106" cm="1">
        <f t="array" aca="1" ref="BA106" ca="1">GetPin_RA8D1_32SD_MIPI</f>
        <v>0</v>
      </c>
      <c r="BB106" cm="1">
        <f t="array" aca="1" ref="BB106" ca="1">GetPin_RA8D1_32SD_MIPI</f>
        <v>0</v>
      </c>
      <c r="BC106" cm="1">
        <f t="array" aca="1" ref="BC106" ca="1">GetPin_RA8D1_32SD_MIPI</f>
        <v>0</v>
      </c>
      <c r="BD106" cm="1">
        <f t="array" aca="1" ref="BD106" ca="1">GetPin_RA8D1_32SD_MIPI</f>
        <v>0</v>
      </c>
      <c r="BG106">
        <v>133</v>
      </c>
    </row>
    <row r="107" spans="17:59" x14ac:dyDescent="0.25">
      <c r="Q107">
        <f>IF(ISBLANK(BoardBTB!Q107),-1,(COUNTIF(U107:BD107,4)*4+IF(COUNTIF(U107:BD107,2),1,0)*2+IF(COUNTIF(U107:BD107,1),1,0)))</f>
        <v>-1</v>
      </c>
      <c r="R107">
        <f>IF(ISBLANK(BoardBTB!R107),-1,(COUNTIF(U107:BD107,4)*4+IF(COUNTIF(U107:BD107,2),1,0)*2+IF(COUNTIF(U107:BD107,1),1,0)))</f>
        <v>-1</v>
      </c>
      <c r="S107">
        <f>IF(ISBLANK(BoardBTB!S107),-1,(COUNTIF(U107:BD107,4)*4+IF(COUNTIF(U107:BD107,2),1,0)*2+IF(COUNTIF(U107:BD107,1),1,0)))</f>
        <v>-1</v>
      </c>
      <c r="T107">
        <f ca="1">IF(ISBLANK(BoardBTB!T107),-1,(COUNTIF(U107:BD107,4)*4+IF(COUNTIF(U107:BD107,2),1,0)*2+IF(COUNTIF(U107:BD107,1),1,0)))</f>
        <v>4</v>
      </c>
      <c r="U107" cm="1">
        <f t="array" aca="1" ref="U107" ca="1">GetPin_RA8D1_32SD_MIPI</f>
        <v>4</v>
      </c>
      <c r="V107" cm="1">
        <f t="array" aca="1" ref="V107" ca="1">GetPin_RA8D1_32SD_MIPI</f>
        <v>0</v>
      </c>
      <c r="W107" cm="1">
        <f t="array" aca="1" ref="W107" ca="1">GetPin_RA8D1_32SD_MIPI</f>
        <v>0</v>
      </c>
      <c r="X107" cm="1">
        <f t="array" aca="1" ref="X107" ca="1">GetPin_RA8D1_32SD_MIPI</f>
        <v>0</v>
      </c>
      <c r="Y107" cm="1">
        <f t="array" aca="1" ref="Y107" ca="1">GetPin_RA8D1_32SD_MIPI</f>
        <v>0</v>
      </c>
      <c r="Z107" cm="1">
        <f t="array" aca="1" ref="Z107" ca="1">GetPin_RA8D1_32SD_MIPI</f>
        <v>0</v>
      </c>
      <c r="AA107" cm="1">
        <f t="array" aca="1" ref="AA107" ca="1">GetPin_RA8D1_32SD_MIPI</f>
        <v>0</v>
      </c>
      <c r="AB107" cm="1">
        <f t="array" aca="1" ref="AB107" ca="1">GetPin_RA8D1_32SD_MIPI</f>
        <v>0</v>
      </c>
      <c r="AC107" cm="1">
        <f t="array" aca="1" ref="AC107" ca="1">GetPin_RA8D1_32SD_MIPI</f>
        <v>0</v>
      </c>
      <c r="AD107" cm="1">
        <f t="array" aca="1" ref="AD107" ca="1">GetPin_RA8D1_32SD_MIPI</f>
        <v>0</v>
      </c>
      <c r="AE107" cm="1">
        <f t="array" aca="1" ref="AE107" ca="1">GetPin_RA8D1_32SD_MIPI</f>
        <v>0</v>
      </c>
      <c r="AF107" cm="1">
        <f t="array" aca="1" ref="AF107" ca="1">GetPin_RA8D1_32SD_MIPI</f>
        <v>0</v>
      </c>
      <c r="AG107" cm="1">
        <f t="array" aca="1" ref="AG107" ca="1">GetPin_RA8D1_32SD_MIPI</f>
        <v>0</v>
      </c>
      <c r="AH107" cm="1">
        <f t="array" aca="1" ref="AH107" ca="1">GetPin_RA8D1_32SD_MIPI</f>
        <v>0</v>
      </c>
      <c r="AI107" cm="1">
        <f t="array" aca="1" ref="AI107" ca="1">GetPin_RA8D1_32SD_MIPI</f>
        <v>0</v>
      </c>
      <c r="AJ107" cm="1">
        <f t="array" aca="1" ref="AJ107" ca="1">GetPin_RA8D1_32SD_MIPI</f>
        <v>0</v>
      </c>
      <c r="AK107" cm="1">
        <f t="array" aca="1" ref="AK107" ca="1">GetPin_RA8D1_32SD_MIPI</f>
        <v>0</v>
      </c>
      <c r="AL107" cm="1">
        <f t="array" aca="1" ref="AL107" ca="1">GetPin_RA8D1_32SD_MIPI</f>
        <v>0</v>
      </c>
      <c r="AM107" cm="1">
        <f t="array" aca="1" ref="AM107" ca="1">GetPin_RA8D1_32SD_MIPI</f>
        <v>0</v>
      </c>
      <c r="AN107" cm="1">
        <f t="array" aca="1" ref="AN107" ca="1">GetPin_RA8D1_32SD_MIPI</f>
        <v>0</v>
      </c>
      <c r="AO107" cm="1">
        <f t="array" aca="1" ref="AO107" ca="1">GetPin_RA8D1_32SD_MIPI</f>
        <v>0</v>
      </c>
      <c r="AP107" cm="1">
        <f t="array" aca="1" ref="AP107" ca="1">GetPin_RA8D1_32SD_MIPI</f>
        <v>0</v>
      </c>
      <c r="AQ107" cm="1">
        <f t="array" aca="1" ref="AQ107" ca="1">GetPin_RA8D1_32SD_MIPI</f>
        <v>0</v>
      </c>
      <c r="AR107" cm="1">
        <f t="array" aca="1" ref="AR107" ca="1">GetPin_RA8D1_32SD_MIPI</f>
        <v>0</v>
      </c>
      <c r="AS107" cm="1">
        <f t="array" aca="1" ref="AS107" ca="1">GetPin_RA8D1_32SD_MIPI</f>
        <v>0</v>
      </c>
      <c r="AT107" cm="1">
        <f t="array" aca="1" ref="AT107" ca="1">GetPin_RA8D1_32SD_MIPI</f>
        <v>0</v>
      </c>
      <c r="AU107" cm="1">
        <f t="array" aca="1" ref="AU107" ca="1">GetPin_RA8D1_32SD_MIPI</f>
        <v>0</v>
      </c>
      <c r="AV107" cm="1">
        <f t="array" aca="1" ref="AV107" ca="1">GetPin_RA8D1_32SD_MIPI</f>
        <v>0</v>
      </c>
      <c r="AW107" cm="1">
        <f t="array" aca="1" ref="AW107" ca="1">GetPin_RA8D1_32SD_MIPI</f>
        <v>0</v>
      </c>
      <c r="AX107" cm="1">
        <f t="array" aca="1" ref="AX107" ca="1">GetPin_RA8D1_32SD_MIPI</f>
        <v>0</v>
      </c>
      <c r="AY107" cm="1">
        <f t="array" aca="1" ref="AY107" ca="1">GetPin_RA8D1_32SD_MIPI</f>
        <v>0</v>
      </c>
      <c r="AZ107" cm="1">
        <f t="array" aca="1" ref="AZ107" ca="1">GetPin_RA8D1_32SD_MIPI</f>
        <v>0</v>
      </c>
      <c r="BA107" cm="1">
        <f t="array" aca="1" ref="BA107" ca="1">GetPin_RA8D1_32SD_MIPI</f>
        <v>0</v>
      </c>
      <c r="BB107" cm="1">
        <f t="array" aca="1" ref="BB107" ca="1">GetPin_RA8D1_32SD_MIPI</f>
        <v>0</v>
      </c>
      <c r="BC107" cm="1">
        <f t="array" aca="1" ref="BC107" ca="1">GetPin_RA8D1_32SD_MIPI</f>
        <v>0</v>
      </c>
      <c r="BD107" cm="1">
        <f t="array" aca="1" ref="BD107" ca="1">GetPin_RA8D1_32SD_MIPI</f>
        <v>0</v>
      </c>
      <c r="BG107">
        <v>134</v>
      </c>
    </row>
    <row r="108" spans="17:59" x14ac:dyDescent="0.25">
      <c r="Q108">
        <f>IF(ISBLANK(BoardBTB!Q108),-1,(COUNTIF(U108:BD108,4)*4+IF(COUNTIF(U108:BD108,2),1,0)*2+IF(COUNTIF(U108:BD108,1),1,0)))</f>
        <v>-1</v>
      </c>
      <c r="R108">
        <f>IF(ISBLANK(BoardBTB!R108),-1,(COUNTIF(U108:BD108,4)*4+IF(COUNTIF(U108:BD108,2),1,0)*2+IF(COUNTIF(U108:BD108,1),1,0)))</f>
        <v>-1</v>
      </c>
      <c r="S108">
        <f>IF(ISBLANK(BoardBTB!S108),-1,(COUNTIF(U108:BD108,4)*4+IF(COUNTIF(U108:BD108,2),1,0)*2+IF(COUNTIF(U108:BD108,1),1,0)))</f>
        <v>-1</v>
      </c>
      <c r="T108">
        <f ca="1">IF(ISBLANK(BoardBTB!T108),-1,(COUNTIF(U108:BD108,4)*4+IF(COUNTIF(U108:BD108,2),1,0)*2+IF(COUNTIF(U108:BD108,1),1,0)))</f>
        <v>4</v>
      </c>
      <c r="U108" cm="1">
        <f t="array" aca="1" ref="U108" ca="1">GetPin_RA8D1_32SD_MIPI</f>
        <v>4</v>
      </c>
      <c r="V108" cm="1">
        <f t="array" aca="1" ref="V108" ca="1">GetPin_RA8D1_32SD_MIPI</f>
        <v>0</v>
      </c>
      <c r="W108" cm="1">
        <f t="array" aca="1" ref="W108" ca="1">GetPin_RA8D1_32SD_MIPI</f>
        <v>0</v>
      </c>
      <c r="X108" cm="1">
        <f t="array" aca="1" ref="X108" ca="1">GetPin_RA8D1_32SD_MIPI</f>
        <v>0</v>
      </c>
      <c r="Y108" cm="1">
        <f t="array" aca="1" ref="Y108" ca="1">GetPin_RA8D1_32SD_MIPI</f>
        <v>0</v>
      </c>
      <c r="Z108" cm="1">
        <f t="array" aca="1" ref="Z108" ca="1">GetPin_RA8D1_32SD_MIPI</f>
        <v>0</v>
      </c>
      <c r="AA108" cm="1">
        <f t="array" aca="1" ref="AA108" ca="1">GetPin_RA8D1_32SD_MIPI</f>
        <v>0</v>
      </c>
      <c r="AB108" cm="1">
        <f t="array" aca="1" ref="AB108" ca="1">GetPin_RA8D1_32SD_MIPI</f>
        <v>0</v>
      </c>
      <c r="AC108" cm="1">
        <f t="array" aca="1" ref="AC108" ca="1">GetPin_RA8D1_32SD_MIPI</f>
        <v>0</v>
      </c>
      <c r="AD108" cm="1">
        <f t="array" aca="1" ref="AD108" ca="1">GetPin_RA8D1_32SD_MIPI</f>
        <v>0</v>
      </c>
      <c r="AE108" cm="1">
        <f t="array" aca="1" ref="AE108" ca="1">GetPin_RA8D1_32SD_MIPI</f>
        <v>0</v>
      </c>
      <c r="AF108" cm="1">
        <f t="array" aca="1" ref="AF108" ca="1">GetPin_RA8D1_32SD_MIPI</f>
        <v>0</v>
      </c>
      <c r="AG108" cm="1">
        <f t="array" aca="1" ref="AG108" ca="1">GetPin_RA8D1_32SD_MIPI</f>
        <v>0</v>
      </c>
      <c r="AH108" cm="1">
        <f t="array" aca="1" ref="AH108" ca="1">GetPin_RA8D1_32SD_MIPI</f>
        <v>0</v>
      </c>
      <c r="AI108" cm="1">
        <f t="array" aca="1" ref="AI108" ca="1">GetPin_RA8D1_32SD_MIPI</f>
        <v>0</v>
      </c>
      <c r="AJ108" cm="1">
        <f t="array" aca="1" ref="AJ108" ca="1">GetPin_RA8D1_32SD_MIPI</f>
        <v>0</v>
      </c>
      <c r="AK108" cm="1">
        <f t="array" aca="1" ref="AK108" ca="1">GetPin_RA8D1_32SD_MIPI</f>
        <v>0</v>
      </c>
      <c r="AL108" cm="1">
        <f t="array" aca="1" ref="AL108" ca="1">GetPin_RA8D1_32SD_MIPI</f>
        <v>0</v>
      </c>
      <c r="AM108" cm="1">
        <f t="array" aca="1" ref="AM108" ca="1">GetPin_RA8D1_32SD_MIPI</f>
        <v>0</v>
      </c>
      <c r="AN108" cm="1">
        <f t="array" aca="1" ref="AN108" ca="1">GetPin_RA8D1_32SD_MIPI</f>
        <v>0</v>
      </c>
      <c r="AO108" cm="1">
        <f t="array" aca="1" ref="AO108" ca="1">GetPin_RA8D1_32SD_MIPI</f>
        <v>0</v>
      </c>
      <c r="AP108" cm="1">
        <f t="array" aca="1" ref="AP108" ca="1">GetPin_RA8D1_32SD_MIPI</f>
        <v>0</v>
      </c>
      <c r="AQ108" cm="1">
        <f t="array" aca="1" ref="AQ108" ca="1">GetPin_RA8D1_32SD_MIPI</f>
        <v>0</v>
      </c>
      <c r="AR108" cm="1">
        <f t="array" aca="1" ref="AR108" ca="1">GetPin_RA8D1_32SD_MIPI</f>
        <v>0</v>
      </c>
      <c r="AS108" cm="1">
        <f t="array" aca="1" ref="AS108" ca="1">GetPin_RA8D1_32SD_MIPI</f>
        <v>0</v>
      </c>
      <c r="AT108" cm="1">
        <f t="array" aca="1" ref="AT108" ca="1">GetPin_RA8D1_32SD_MIPI</f>
        <v>0</v>
      </c>
      <c r="AU108" cm="1">
        <f t="array" aca="1" ref="AU108" ca="1">GetPin_RA8D1_32SD_MIPI</f>
        <v>0</v>
      </c>
      <c r="AV108" cm="1">
        <f t="array" aca="1" ref="AV108" ca="1">GetPin_RA8D1_32SD_MIPI</f>
        <v>0</v>
      </c>
      <c r="AW108" cm="1">
        <f t="array" aca="1" ref="AW108" ca="1">GetPin_RA8D1_32SD_MIPI</f>
        <v>0</v>
      </c>
      <c r="AX108" cm="1">
        <f t="array" aca="1" ref="AX108" ca="1">GetPin_RA8D1_32SD_MIPI</f>
        <v>0</v>
      </c>
      <c r="AY108" cm="1">
        <f t="array" aca="1" ref="AY108" ca="1">GetPin_RA8D1_32SD_MIPI</f>
        <v>0</v>
      </c>
      <c r="AZ108" cm="1">
        <f t="array" aca="1" ref="AZ108" ca="1">GetPin_RA8D1_32SD_MIPI</f>
        <v>0</v>
      </c>
      <c r="BA108" cm="1">
        <f t="array" aca="1" ref="BA108" ca="1">GetPin_RA8D1_32SD_MIPI</f>
        <v>0</v>
      </c>
      <c r="BB108" cm="1">
        <f t="array" aca="1" ref="BB108" ca="1">GetPin_RA8D1_32SD_MIPI</f>
        <v>0</v>
      </c>
      <c r="BC108" cm="1">
        <f t="array" aca="1" ref="BC108" ca="1">GetPin_RA8D1_32SD_MIPI</f>
        <v>0</v>
      </c>
      <c r="BD108" cm="1">
        <f t="array" aca="1" ref="BD108" ca="1">GetPin_RA8D1_32SD_MIPI</f>
        <v>0</v>
      </c>
      <c r="BG108">
        <v>135</v>
      </c>
    </row>
    <row r="109" spans="17:59" x14ac:dyDescent="0.25">
      <c r="Q109">
        <f>IF(ISBLANK(BoardBTB!Q109),-1,(COUNTIF(U109:BD109,4)*4+IF(COUNTIF(U109:BD109,2),1,0)*2+IF(COUNTIF(U109:BD109,1),1,0)))</f>
        <v>-1</v>
      </c>
      <c r="R109">
        <f>IF(ISBLANK(BoardBTB!R109),-1,(COUNTIF(U109:BD109,4)*4+IF(COUNTIF(U109:BD109,2),1,0)*2+IF(COUNTIF(U109:BD109,1),1,0)))</f>
        <v>-1</v>
      </c>
      <c r="S109">
        <f>IF(ISBLANK(BoardBTB!S109),-1,(COUNTIF(U109:BD109,4)*4+IF(COUNTIF(U109:BD109,2),1,0)*2+IF(COUNTIF(U109:BD109,1),1,0)))</f>
        <v>-1</v>
      </c>
      <c r="T109">
        <f ca="1">IF(ISBLANK(BoardBTB!T109),-1,(COUNTIF(U109:BD109,4)*4+IF(COUNTIF(U109:BD109,2),1,0)*2+IF(COUNTIF(U109:BD109,1),1,0)))</f>
        <v>4</v>
      </c>
      <c r="U109" cm="1">
        <f t="array" aca="1" ref="U109" ca="1">GetPin_RA8D1_32SD_MIPI</f>
        <v>4</v>
      </c>
      <c r="V109" cm="1">
        <f t="array" aca="1" ref="V109" ca="1">GetPin_RA8D1_32SD_MIPI</f>
        <v>0</v>
      </c>
      <c r="W109" cm="1">
        <f t="array" aca="1" ref="W109" ca="1">GetPin_RA8D1_32SD_MIPI</f>
        <v>0</v>
      </c>
      <c r="X109" cm="1">
        <f t="array" aca="1" ref="X109" ca="1">GetPin_RA8D1_32SD_MIPI</f>
        <v>0</v>
      </c>
      <c r="Y109" cm="1">
        <f t="array" aca="1" ref="Y109" ca="1">GetPin_RA8D1_32SD_MIPI</f>
        <v>0</v>
      </c>
      <c r="Z109" cm="1">
        <f t="array" aca="1" ref="Z109" ca="1">GetPin_RA8D1_32SD_MIPI</f>
        <v>0</v>
      </c>
      <c r="AA109" cm="1">
        <f t="array" aca="1" ref="AA109" ca="1">GetPin_RA8D1_32SD_MIPI</f>
        <v>0</v>
      </c>
      <c r="AB109" cm="1">
        <f t="array" aca="1" ref="AB109" ca="1">GetPin_RA8D1_32SD_MIPI</f>
        <v>0</v>
      </c>
      <c r="AC109" cm="1">
        <f t="array" aca="1" ref="AC109" ca="1">GetPin_RA8D1_32SD_MIPI</f>
        <v>0</v>
      </c>
      <c r="AD109" cm="1">
        <f t="array" aca="1" ref="AD109" ca="1">GetPin_RA8D1_32SD_MIPI</f>
        <v>0</v>
      </c>
      <c r="AE109" cm="1">
        <f t="array" aca="1" ref="AE109" ca="1">GetPin_RA8D1_32SD_MIPI</f>
        <v>0</v>
      </c>
      <c r="AF109" cm="1">
        <f t="array" aca="1" ref="AF109" ca="1">GetPin_RA8D1_32SD_MIPI</f>
        <v>0</v>
      </c>
      <c r="AG109" cm="1">
        <f t="array" aca="1" ref="AG109" ca="1">GetPin_RA8D1_32SD_MIPI</f>
        <v>0</v>
      </c>
      <c r="AH109" cm="1">
        <f t="array" aca="1" ref="AH109" ca="1">GetPin_RA8D1_32SD_MIPI</f>
        <v>0</v>
      </c>
      <c r="AI109" cm="1">
        <f t="array" aca="1" ref="AI109" ca="1">GetPin_RA8D1_32SD_MIPI</f>
        <v>0</v>
      </c>
      <c r="AJ109" cm="1">
        <f t="array" aca="1" ref="AJ109" ca="1">GetPin_RA8D1_32SD_MIPI</f>
        <v>0</v>
      </c>
      <c r="AK109" cm="1">
        <f t="array" aca="1" ref="AK109" ca="1">GetPin_RA8D1_32SD_MIPI</f>
        <v>0</v>
      </c>
      <c r="AL109" cm="1">
        <f t="array" aca="1" ref="AL109" ca="1">GetPin_RA8D1_32SD_MIPI</f>
        <v>0</v>
      </c>
      <c r="AM109" cm="1">
        <f t="array" aca="1" ref="AM109" ca="1">GetPin_RA8D1_32SD_MIPI</f>
        <v>0</v>
      </c>
      <c r="AN109" cm="1">
        <f t="array" aca="1" ref="AN109" ca="1">GetPin_RA8D1_32SD_MIPI</f>
        <v>0</v>
      </c>
      <c r="AO109" cm="1">
        <f t="array" aca="1" ref="AO109" ca="1">GetPin_RA8D1_32SD_MIPI</f>
        <v>0</v>
      </c>
      <c r="AP109" cm="1">
        <f t="array" aca="1" ref="AP109" ca="1">GetPin_RA8D1_32SD_MIPI</f>
        <v>0</v>
      </c>
      <c r="AQ109" cm="1">
        <f t="array" aca="1" ref="AQ109" ca="1">GetPin_RA8D1_32SD_MIPI</f>
        <v>0</v>
      </c>
      <c r="AR109" cm="1">
        <f t="array" aca="1" ref="AR109" ca="1">GetPin_RA8D1_32SD_MIPI</f>
        <v>0</v>
      </c>
      <c r="AS109" cm="1">
        <f t="array" aca="1" ref="AS109" ca="1">GetPin_RA8D1_32SD_MIPI</f>
        <v>0</v>
      </c>
      <c r="AT109" cm="1">
        <f t="array" aca="1" ref="AT109" ca="1">GetPin_RA8D1_32SD_MIPI</f>
        <v>0</v>
      </c>
      <c r="AU109" cm="1">
        <f t="array" aca="1" ref="AU109" ca="1">GetPin_RA8D1_32SD_MIPI</f>
        <v>0</v>
      </c>
      <c r="AV109" cm="1">
        <f t="array" aca="1" ref="AV109" ca="1">GetPin_RA8D1_32SD_MIPI</f>
        <v>0</v>
      </c>
      <c r="AW109" cm="1">
        <f t="array" aca="1" ref="AW109" ca="1">GetPin_RA8D1_32SD_MIPI</f>
        <v>0</v>
      </c>
      <c r="AX109" cm="1">
        <f t="array" aca="1" ref="AX109" ca="1">GetPin_RA8D1_32SD_MIPI</f>
        <v>0</v>
      </c>
      <c r="AY109" cm="1">
        <f t="array" aca="1" ref="AY109" ca="1">GetPin_RA8D1_32SD_MIPI</f>
        <v>0</v>
      </c>
      <c r="AZ109" cm="1">
        <f t="array" aca="1" ref="AZ109" ca="1">GetPin_RA8D1_32SD_MIPI</f>
        <v>0</v>
      </c>
      <c r="BA109" cm="1">
        <f t="array" aca="1" ref="BA109" ca="1">GetPin_RA8D1_32SD_MIPI</f>
        <v>0</v>
      </c>
      <c r="BB109" cm="1">
        <f t="array" aca="1" ref="BB109" ca="1">GetPin_RA8D1_32SD_MIPI</f>
        <v>0</v>
      </c>
      <c r="BC109" cm="1">
        <f t="array" aca="1" ref="BC109" ca="1">GetPin_RA8D1_32SD_MIPI</f>
        <v>0</v>
      </c>
      <c r="BD109" cm="1">
        <f t="array" aca="1" ref="BD109" ca="1">GetPin_RA8D1_32SD_MIPI</f>
        <v>0</v>
      </c>
      <c r="BG109">
        <v>136</v>
      </c>
    </row>
    <row r="110" spans="17:59" x14ac:dyDescent="0.25">
      <c r="Q110">
        <f>IF(ISBLANK(BoardBTB!Q110),-1,(COUNTIF(U110:BD110,4)*4+IF(COUNTIF(U110:BD110,2),1,0)*2+IF(COUNTIF(U110:BD110,1),1,0)))</f>
        <v>-1</v>
      </c>
      <c r="R110">
        <f>IF(ISBLANK(BoardBTB!R110),-1,(COUNTIF(U110:BD110,4)*4+IF(COUNTIF(U110:BD110,2),1,0)*2+IF(COUNTIF(U110:BD110,1),1,0)))</f>
        <v>-1</v>
      </c>
      <c r="S110">
        <f>IF(ISBLANK(BoardBTB!S110),-1,(COUNTIF(U110:BD110,4)*4+IF(COUNTIF(U110:BD110,2),1,0)*2+IF(COUNTIF(U110:BD110,1),1,0)))</f>
        <v>-1</v>
      </c>
      <c r="T110">
        <f ca="1">IF(ISBLANK(BoardBTB!T110),-1,(COUNTIF(U110:BD110,4)*4+IF(COUNTIF(U110:BD110,2),1,0)*2+IF(COUNTIF(U110:BD110,1),1,0)))</f>
        <v>0</v>
      </c>
      <c r="U110" cm="1">
        <f t="array" aca="1" ref="U110" ca="1">GetPin_RA8D1_32SD_MIPI</f>
        <v>0</v>
      </c>
      <c r="V110" cm="1">
        <f t="array" aca="1" ref="V110" ca="1">GetPin_RA8D1_32SD_MIPI</f>
        <v>0</v>
      </c>
      <c r="W110" cm="1">
        <f t="array" aca="1" ref="W110" ca="1">GetPin_RA8D1_32SD_MIPI</f>
        <v>0</v>
      </c>
      <c r="X110" cm="1">
        <f t="array" aca="1" ref="X110" ca="1">GetPin_RA8D1_32SD_MIPI</f>
        <v>0</v>
      </c>
      <c r="Y110" cm="1">
        <f t="array" aca="1" ref="Y110" ca="1">GetPin_RA8D1_32SD_MIPI</f>
        <v>0</v>
      </c>
      <c r="Z110" cm="1">
        <f t="array" aca="1" ref="Z110" ca="1">GetPin_RA8D1_32SD_MIPI</f>
        <v>0</v>
      </c>
      <c r="AA110" cm="1">
        <f t="array" aca="1" ref="AA110" ca="1">GetPin_RA8D1_32SD_MIPI</f>
        <v>0</v>
      </c>
      <c r="AB110" cm="1">
        <f t="array" aca="1" ref="AB110" ca="1">GetPin_RA8D1_32SD_MIPI</f>
        <v>0</v>
      </c>
      <c r="AC110" cm="1">
        <f t="array" aca="1" ref="AC110" ca="1">GetPin_RA8D1_32SD_MIPI</f>
        <v>0</v>
      </c>
      <c r="AD110" cm="1">
        <f t="array" aca="1" ref="AD110" ca="1">GetPin_RA8D1_32SD_MIPI</f>
        <v>0</v>
      </c>
      <c r="AE110" cm="1">
        <f t="array" aca="1" ref="AE110" ca="1">GetPin_RA8D1_32SD_MIPI</f>
        <v>0</v>
      </c>
      <c r="AF110" cm="1">
        <f t="array" aca="1" ref="AF110" ca="1">GetPin_RA8D1_32SD_MIPI</f>
        <v>0</v>
      </c>
      <c r="AG110" cm="1">
        <f t="array" aca="1" ref="AG110" ca="1">GetPin_RA8D1_32SD_MIPI</f>
        <v>0</v>
      </c>
      <c r="AH110" cm="1">
        <f t="array" aca="1" ref="AH110" ca="1">GetPin_RA8D1_32SD_MIPI</f>
        <v>0</v>
      </c>
      <c r="AI110" cm="1">
        <f t="array" aca="1" ref="AI110" ca="1">GetPin_RA8D1_32SD_MIPI</f>
        <v>0</v>
      </c>
      <c r="AJ110" cm="1">
        <f t="array" aca="1" ref="AJ110" ca="1">GetPin_RA8D1_32SD_MIPI</f>
        <v>0</v>
      </c>
      <c r="AK110" cm="1">
        <f t="array" aca="1" ref="AK110" ca="1">GetPin_RA8D1_32SD_MIPI</f>
        <v>0</v>
      </c>
      <c r="AL110" cm="1">
        <f t="array" aca="1" ref="AL110" ca="1">GetPin_RA8D1_32SD_MIPI</f>
        <v>0</v>
      </c>
      <c r="AM110" cm="1">
        <f t="array" aca="1" ref="AM110" ca="1">GetPin_RA8D1_32SD_MIPI</f>
        <v>0</v>
      </c>
      <c r="AN110" cm="1">
        <f t="array" aca="1" ref="AN110" ca="1">GetPin_RA8D1_32SD_MIPI</f>
        <v>0</v>
      </c>
      <c r="AO110" cm="1">
        <f t="array" aca="1" ref="AO110" ca="1">GetPin_RA8D1_32SD_MIPI</f>
        <v>0</v>
      </c>
      <c r="AP110" cm="1">
        <f t="array" aca="1" ref="AP110" ca="1">GetPin_RA8D1_32SD_MIPI</f>
        <v>0</v>
      </c>
      <c r="AQ110" cm="1">
        <f t="array" aca="1" ref="AQ110" ca="1">GetPin_RA8D1_32SD_MIPI</f>
        <v>0</v>
      </c>
      <c r="AR110" cm="1">
        <f t="array" aca="1" ref="AR110" ca="1">GetPin_RA8D1_32SD_MIPI</f>
        <v>0</v>
      </c>
      <c r="AS110" cm="1">
        <f t="array" aca="1" ref="AS110" ca="1">GetPin_RA8D1_32SD_MIPI</f>
        <v>0</v>
      </c>
      <c r="AT110" cm="1">
        <f t="array" aca="1" ref="AT110" ca="1">GetPin_RA8D1_32SD_MIPI</f>
        <v>0</v>
      </c>
      <c r="AU110" cm="1">
        <f t="array" aca="1" ref="AU110" ca="1">GetPin_RA8D1_32SD_MIPI</f>
        <v>0</v>
      </c>
      <c r="AV110" cm="1">
        <f t="array" aca="1" ref="AV110" ca="1">GetPin_RA8D1_32SD_MIPI</f>
        <v>0</v>
      </c>
      <c r="AW110" cm="1">
        <f t="array" aca="1" ref="AW110" ca="1">GetPin_RA8D1_32SD_MIPI</f>
        <v>0</v>
      </c>
      <c r="AX110" cm="1">
        <f t="array" aca="1" ref="AX110" ca="1">GetPin_RA8D1_32SD_MIPI</f>
        <v>0</v>
      </c>
      <c r="AY110" cm="1">
        <f t="array" aca="1" ref="AY110" ca="1">GetPin_RA8D1_32SD_MIPI</f>
        <v>0</v>
      </c>
      <c r="AZ110" cm="1">
        <f t="array" aca="1" ref="AZ110" ca="1">GetPin_RA8D1_32SD_MIPI</f>
        <v>0</v>
      </c>
      <c r="BA110" cm="1">
        <f t="array" aca="1" ref="BA110" ca="1">GetPin_RA8D1_32SD_MIPI</f>
        <v>0</v>
      </c>
      <c r="BB110" cm="1">
        <f t="array" aca="1" ref="BB110" ca="1">GetPin_RA8D1_32SD_MIPI</f>
        <v>0</v>
      </c>
      <c r="BC110" cm="1">
        <f t="array" aca="1" ref="BC110" ca="1">GetPin_RA8D1_32SD_MIPI</f>
        <v>0</v>
      </c>
      <c r="BD110" cm="1">
        <f t="array" aca="1" ref="BD110" ca="1">GetPin_RA8D1_32SD_MIPI</f>
        <v>0</v>
      </c>
      <c r="BG110">
        <v>137</v>
      </c>
    </row>
    <row r="111" spans="17:59" x14ac:dyDescent="0.25">
      <c r="Q111">
        <f>IF(ISBLANK(BoardBTB!Q111),-1,(COUNTIF(U111:BD111,4)*4+IF(COUNTIF(U111:BD111,2),1,0)*2+IF(COUNTIF(U111:BD111,1),1,0)))</f>
        <v>-1</v>
      </c>
      <c r="R111">
        <f>IF(ISBLANK(BoardBTB!R111),-1,(COUNTIF(U111:BD111,4)*4+IF(COUNTIF(U111:BD111,2),1,0)*2+IF(COUNTIF(U111:BD111,1),1,0)))</f>
        <v>-1</v>
      </c>
      <c r="S111">
        <f>IF(ISBLANK(BoardBTB!S111),-1,(COUNTIF(U111:BD111,4)*4+IF(COUNTIF(U111:BD111,2),1,0)*2+IF(COUNTIF(U111:BD111,1),1,0)))</f>
        <v>-1</v>
      </c>
      <c r="T111">
        <f ca="1">IF(ISBLANK(BoardBTB!T111),-1,(COUNTIF(U111:BD111,4)*4+IF(COUNTIF(U111:BD111,2),1,0)*2+IF(COUNTIF(U111:BD111,1),1,0)))</f>
        <v>0</v>
      </c>
      <c r="U111" cm="1">
        <f t="array" aca="1" ref="U111" ca="1">GetPin_RA8D1_32SD_MIPI</f>
        <v>0</v>
      </c>
      <c r="V111" cm="1">
        <f t="array" aca="1" ref="V111" ca="1">GetPin_RA8D1_32SD_MIPI</f>
        <v>0</v>
      </c>
      <c r="W111" cm="1">
        <f t="array" aca="1" ref="W111" ca="1">GetPin_RA8D1_32SD_MIPI</f>
        <v>0</v>
      </c>
      <c r="X111" cm="1">
        <f t="array" aca="1" ref="X111" ca="1">GetPin_RA8D1_32SD_MIPI</f>
        <v>0</v>
      </c>
      <c r="Y111" cm="1">
        <f t="array" aca="1" ref="Y111" ca="1">GetPin_RA8D1_32SD_MIPI</f>
        <v>0</v>
      </c>
      <c r="Z111" cm="1">
        <f t="array" aca="1" ref="Z111" ca="1">GetPin_RA8D1_32SD_MIPI</f>
        <v>0</v>
      </c>
      <c r="AA111" cm="1">
        <f t="array" aca="1" ref="AA111" ca="1">GetPin_RA8D1_32SD_MIPI</f>
        <v>0</v>
      </c>
      <c r="AB111" cm="1">
        <f t="array" aca="1" ref="AB111" ca="1">GetPin_RA8D1_32SD_MIPI</f>
        <v>0</v>
      </c>
      <c r="AC111" cm="1">
        <f t="array" aca="1" ref="AC111" ca="1">GetPin_RA8D1_32SD_MIPI</f>
        <v>0</v>
      </c>
      <c r="AD111" cm="1">
        <f t="array" aca="1" ref="AD111" ca="1">GetPin_RA8D1_32SD_MIPI</f>
        <v>0</v>
      </c>
      <c r="AE111" cm="1">
        <f t="array" aca="1" ref="AE111" ca="1">GetPin_RA8D1_32SD_MIPI</f>
        <v>0</v>
      </c>
      <c r="AF111" cm="1">
        <f t="array" aca="1" ref="AF111" ca="1">GetPin_RA8D1_32SD_MIPI</f>
        <v>0</v>
      </c>
      <c r="AG111" cm="1">
        <f t="array" aca="1" ref="AG111" ca="1">GetPin_RA8D1_32SD_MIPI</f>
        <v>0</v>
      </c>
      <c r="AH111" cm="1">
        <f t="array" aca="1" ref="AH111" ca="1">GetPin_RA8D1_32SD_MIPI</f>
        <v>0</v>
      </c>
      <c r="AI111" cm="1">
        <f t="array" aca="1" ref="AI111" ca="1">GetPin_RA8D1_32SD_MIPI</f>
        <v>0</v>
      </c>
      <c r="AJ111" cm="1">
        <f t="array" aca="1" ref="AJ111" ca="1">GetPin_RA8D1_32SD_MIPI</f>
        <v>0</v>
      </c>
      <c r="AK111" cm="1">
        <f t="array" aca="1" ref="AK111" ca="1">GetPin_RA8D1_32SD_MIPI</f>
        <v>0</v>
      </c>
      <c r="AL111" cm="1">
        <f t="array" aca="1" ref="AL111" ca="1">GetPin_RA8D1_32SD_MIPI</f>
        <v>0</v>
      </c>
      <c r="AM111" cm="1">
        <f t="array" aca="1" ref="AM111" ca="1">GetPin_RA8D1_32SD_MIPI</f>
        <v>0</v>
      </c>
      <c r="AN111" cm="1">
        <f t="array" aca="1" ref="AN111" ca="1">GetPin_RA8D1_32SD_MIPI</f>
        <v>0</v>
      </c>
      <c r="AO111" cm="1">
        <f t="array" aca="1" ref="AO111" ca="1">GetPin_RA8D1_32SD_MIPI</f>
        <v>0</v>
      </c>
      <c r="AP111" cm="1">
        <f t="array" aca="1" ref="AP111" ca="1">GetPin_RA8D1_32SD_MIPI</f>
        <v>0</v>
      </c>
      <c r="AQ111" cm="1">
        <f t="array" aca="1" ref="AQ111" ca="1">GetPin_RA8D1_32SD_MIPI</f>
        <v>0</v>
      </c>
      <c r="AR111" cm="1">
        <f t="array" aca="1" ref="AR111" ca="1">GetPin_RA8D1_32SD_MIPI</f>
        <v>0</v>
      </c>
      <c r="AS111" cm="1">
        <f t="array" aca="1" ref="AS111" ca="1">GetPin_RA8D1_32SD_MIPI</f>
        <v>0</v>
      </c>
      <c r="AT111" cm="1">
        <f t="array" aca="1" ref="AT111" ca="1">GetPin_RA8D1_32SD_MIPI</f>
        <v>0</v>
      </c>
      <c r="AU111" cm="1">
        <f t="array" aca="1" ref="AU111" ca="1">GetPin_RA8D1_32SD_MIPI</f>
        <v>0</v>
      </c>
      <c r="AV111" cm="1">
        <f t="array" aca="1" ref="AV111" ca="1">GetPin_RA8D1_32SD_MIPI</f>
        <v>0</v>
      </c>
      <c r="AW111" cm="1">
        <f t="array" aca="1" ref="AW111" ca="1">GetPin_RA8D1_32SD_MIPI</f>
        <v>0</v>
      </c>
      <c r="AX111" cm="1">
        <f t="array" aca="1" ref="AX111" ca="1">GetPin_RA8D1_32SD_MIPI</f>
        <v>0</v>
      </c>
      <c r="AY111" cm="1">
        <f t="array" aca="1" ref="AY111" ca="1">GetPin_RA8D1_32SD_MIPI</f>
        <v>0</v>
      </c>
      <c r="AZ111" cm="1">
        <f t="array" aca="1" ref="AZ111" ca="1">GetPin_RA8D1_32SD_MIPI</f>
        <v>0</v>
      </c>
      <c r="BA111" cm="1">
        <f t="array" aca="1" ref="BA111" ca="1">GetPin_RA8D1_32SD_MIPI</f>
        <v>0</v>
      </c>
      <c r="BB111" cm="1">
        <f t="array" aca="1" ref="BB111" ca="1">GetPin_RA8D1_32SD_MIPI</f>
        <v>0</v>
      </c>
      <c r="BC111" cm="1">
        <f t="array" aca="1" ref="BC111" ca="1">GetPin_RA8D1_32SD_MIPI</f>
        <v>0</v>
      </c>
      <c r="BD111" cm="1">
        <f t="array" aca="1" ref="BD111" ca="1">GetPin_RA8D1_32SD_MIPI</f>
        <v>0</v>
      </c>
      <c r="BG111">
        <v>138</v>
      </c>
    </row>
    <row r="112" spans="17:59" x14ac:dyDescent="0.25">
      <c r="Q112">
        <f>IF(ISBLANK(BoardBTB!Q112),-1,(COUNTIF(U112:BD112,4)*4+IF(COUNTIF(U112:BD112,2),1,0)*2+IF(COUNTIF(U112:BD112,1),1,0)))</f>
        <v>-1</v>
      </c>
      <c r="R112">
        <f>IF(ISBLANK(BoardBTB!R112),-1,(COUNTIF(U112:BD112,4)*4+IF(COUNTIF(U112:BD112,2),1,0)*2+IF(COUNTIF(U112:BD112,1),1,0)))</f>
        <v>-1</v>
      </c>
      <c r="S112">
        <f>IF(ISBLANK(BoardBTB!S112),-1,(COUNTIF(U112:BD112,4)*4+IF(COUNTIF(U112:BD112,2),1,0)*2+IF(COUNTIF(U112:BD112,1),1,0)))</f>
        <v>-1</v>
      </c>
      <c r="T112">
        <f ca="1">IF(ISBLANK(BoardBTB!T112),-1,(COUNTIF(U112:BD112,4)*4+IF(COUNTIF(U112:BD112,2),1,0)*2+IF(COUNTIF(U112:BD112,1),1,0)))</f>
        <v>2</v>
      </c>
      <c r="U112" cm="1">
        <f t="array" aca="1" ref="U112" ca="1">GetPin_RA8D1_32SD_MIPI</f>
        <v>0</v>
      </c>
      <c r="V112" cm="1">
        <f t="array" aca="1" ref="V112" ca="1">GetPin_RA8D1_32SD_MIPI</f>
        <v>0</v>
      </c>
      <c r="W112" cm="1">
        <f t="array" aca="1" ref="W112" ca="1">GetPin_RA8D1_32SD_MIPI</f>
        <v>0</v>
      </c>
      <c r="X112" cm="1">
        <f t="array" aca="1" ref="X112" ca="1">GetPin_RA8D1_32SD_MIPI</f>
        <v>0</v>
      </c>
      <c r="Y112" cm="1">
        <f t="array" aca="1" ref="Y112" ca="1">GetPin_RA8D1_32SD_MIPI</f>
        <v>0</v>
      </c>
      <c r="Z112" cm="1">
        <f t="array" aca="1" ref="Z112" ca="1">GetPin_RA8D1_32SD_MIPI</f>
        <v>0</v>
      </c>
      <c r="AA112" cm="1">
        <f t="array" aca="1" ref="AA112" ca="1">GetPin_RA8D1_32SD_MIPI</f>
        <v>2</v>
      </c>
      <c r="AB112" cm="1">
        <f t="array" aca="1" ref="AB112" ca="1">GetPin_RA8D1_32SD_MIPI</f>
        <v>0</v>
      </c>
      <c r="AC112" cm="1">
        <f t="array" aca="1" ref="AC112" ca="1">GetPin_RA8D1_32SD_MIPI</f>
        <v>0</v>
      </c>
      <c r="AD112" cm="1">
        <f t="array" aca="1" ref="AD112" ca="1">GetPin_RA8D1_32SD_MIPI</f>
        <v>0</v>
      </c>
      <c r="AE112" cm="1">
        <f t="array" aca="1" ref="AE112" ca="1">GetPin_RA8D1_32SD_MIPI</f>
        <v>0</v>
      </c>
      <c r="AF112" cm="1">
        <f t="array" aca="1" ref="AF112" ca="1">GetPin_RA8D1_32SD_MIPI</f>
        <v>0</v>
      </c>
      <c r="AG112" cm="1">
        <f t="array" aca="1" ref="AG112" ca="1">GetPin_RA8D1_32SD_MIPI</f>
        <v>0</v>
      </c>
      <c r="AH112" cm="1">
        <f t="array" aca="1" ref="AH112" ca="1">GetPin_RA8D1_32SD_MIPI</f>
        <v>0</v>
      </c>
      <c r="AI112" cm="1">
        <f t="array" aca="1" ref="AI112" ca="1">GetPin_RA8D1_32SD_MIPI</f>
        <v>0</v>
      </c>
      <c r="AJ112" cm="1">
        <f t="array" aca="1" ref="AJ112" ca="1">GetPin_RA8D1_32SD_MIPI</f>
        <v>0</v>
      </c>
      <c r="AK112" cm="1">
        <f t="array" aca="1" ref="AK112" ca="1">GetPin_RA8D1_32SD_MIPI</f>
        <v>0</v>
      </c>
      <c r="AL112" cm="1">
        <f t="array" aca="1" ref="AL112" ca="1">GetPin_RA8D1_32SD_MIPI</f>
        <v>0</v>
      </c>
      <c r="AM112" cm="1">
        <f t="array" aca="1" ref="AM112" ca="1">GetPin_RA8D1_32SD_MIPI</f>
        <v>0</v>
      </c>
      <c r="AN112" cm="1">
        <f t="array" aca="1" ref="AN112" ca="1">GetPin_RA8D1_32SD_MIPI</f>
        <v>0</v>
      </c>
      <c r="AO112" cm="1">
        <f t="array" aca="1" ref="AO112" ca="1">GetPin_RA8D1_32SD_MIPI</f>
        <v>0</v>
      </c>
      <c r="AP112" cm="1">
        <f t="array" aca="1" ref="AP112" ca="1">GetPin_RA8D1_32SD_MIPI</f>
        <v>0</v>
      </c>
      <c r="AQ112" cm="1">
        <f t="array" aca="1" ref="AQ112" ca="1">GetPin_RA8D1_32SD_MIPI</f>
        <v>0</v>
      </c>
      <c r="AR112" cm="1">
        <f t="array" aca="1" ref="AR112" ca="1">GetPin_RA8D1_32SD_MIPI</f>
        <v>0</v>
      </c>
      <c r="AS112" cm="1">
        <f t="array" aca="1" ref="AS112" ca="1">GetPin_RA8D1_32SD_MIPI</f>
        <v>0</v>
      </c>
      <c r="AT112" cm="1">
        <f t="array" aca="1" ref="AT112" ca="1">GetPin_RA8D1_32SD_MIPI</f>
        <v>0</v>
      </c>
      <c r="AU112" cm="1">
        <f t="array" aca="1" ref="AU112" ca="1">GetPin_RA8D1_32SD_MIPI</f>
        <v>0</v>
      </c>
      <c r="AV112" cm="1">
        <f t="array" aca="1" ref="AV112" ca="1">GetPin_RA8D1_32SD_MIPI</f>
        <v>0</v>
      </c>
      <c r="AW112" cm="1">
        <f t="array" aca="1" ref="AW112" ca="1">GetPin_RA8D1_32SD_MIPI</f>
        <v>0</v>
      </c>
      <c r="AX112" cm="1">
        <f t="array" aca="1" ref="AX112" ca="1">GetPin_RA8D1_32SD_MIPI</f>
        <v>0</v>
      </c>
      <c r="AY112" cm="1">
        <f t="array" aca="1" ref="AY112" ca="1">GetPin_RA8D1_32SD_MIPI</f>
        <v>0</v>
      </c>
      <c r="AZ112" cm="1">
        <f t="array" aca="1" ref="AZ112" ca="1">GetPin_RA8D1_32SD_MIPI</f>
        <v>0</v>
      </c>
      <c r="BA112" cm="1">
        <f t="array" aca="1" ref="BA112" ca="1">GetPin_RA8D1_32SD_MIPI</f>
        <v>0</v>
      </c>
      <c r="BB112" cm="1">
        <f t="array" aca="1" ref="BB112" ca="1">GetPin_RA8D1_32SD_MIPI</f>
        <v>0</v>
      </c>
      <c r="BC112" cm="1">
        <f t="array" aca="1" ref="BC112" ca="1">GetPin_RA8D1_32SD_MIPI</f>
        <v>0</v>
      </c>
      <c r="BD112" cm="1">
        <f t="array" aca="1" ref="BD112" ca="1">GetPin_RA8D1_32SD_MIPI</f>
        <v>0</v>
      </c>
      <c r="BG112">
        <v>139</v>
      </c>
    </row>
    <row r="113" spans="17:59" x14ac:dyDescent="0.25">
      <c r="Q113">
        <f>IF(ISBLANK(BoardBTB!Q113),-1,(COUNTIF(U113:BD113,4)*4+IF(COUNTIF(U113:BD113,2),1,0)*2+IF(COUNTIF(U113:BD113,1),1,0)))</f>
        <v>-1</v>
      </c>
      <c r="R113">
        <f>IF(ISBLANK(BoardBTB!R113),-1,(COUNTIF(U113:BD113,4)*4+IF(COUNTIF(U113:BD113,2),1,0)*2+IF(COUNTIF(U113:BD113,1),1,0)))</f>
        <v>-1</v>
      </c>
      <c r="S113">
        <f>IF(ISBLANK(BoardBTB!S113),-1,(COUNTIF(U113:BD113,4)*4+IF(COUNTIF(U113:BD113,2),1,0)*2+IF(COUNTIF(U113:BD113,1),1,0)))</f>
        <v>-1</v>
      </c>
      <c r="T113">
        <f ca="1">IF(ISBLANK(BoardBTB!T113),-1,(COUNTIF(U113:BD113,4)*4+IF(COUNTIF(U113:BD113,2),1,0)*2+IF(COUNTIF(U113:BD113,1),1,0)))</f>
        <v>0</v>
      </c>
      <c r="U113" cm="1">
        <f t="array" aca="1" ref="U113" ca="1">GetPin_RA8D1_32SD_MIPI</f>
        <v>0</v>
      </c>
      <c r="V113" cm="1">
        <f t="array" aca="1" ref="V113" ca="1">GetPin_RA8D1_32SD_MIPI</f>
        <v>0</v>
      </c>
      <c r="W113" cm="1">
        <f t="array" aca="1" ref="W113" ca="1">GetPin_RA8D1_32SD_MIPI</f>
        <v>0</v>
      </c>
      <c r="X113" cm="1">
        <f t="array" aca="1" ref="X113" ca="1">GetPin_RA8D1_32SD_MIPI</f>
        <v>0</v>
      </c>
      <c r="Y113" cm="1">
        <f t="array" aca="1" ref="Y113" ca="1">GetPin_RA8D1_32SD_MIPI</f>
        <v>0</v>
      </c>
      <c r="Z113" cm="1">
        <f t="array" aca="1" ref="Z113" ca="1">GetPin_RA8D1_32SD_MIPI</f>
        <v>0</v>
      </c>
      <c r="AA113" cm="1">
        <f t="array" aca="1" ref="AA113" ca="1">GetPin_RA8D1_32SD_MIPI</f>
        <v>0</v>
      </c>
      <c r="AB113" cm="1">
        <f t="array" aca="1" ref="AB113" ca="1">GetPin_RA8D1_32SD_MIPI</f>
        <v>0</v>
      </c>
      <c r="AC113" cm="1">
        <f t="array" aca="1" ref="AC113" ca="1">GetPin_RA8D1_32SD_MIPI</f>
        <v>0</v>
      </c>
      <c r="AD113" cm="1">
        <f t="array" aca="1" ref="AD113" ca="1">GetPin_RA8D1_32SD_MIPI</f>
        <v>0</v>
      </c>
      <c r="AE113" cm="1">
        <f t="array" aca="1" ref="AE113" ca="1">GetPin_RA8D1_32SD_MIPI</f>
        <v>0</v>
      </c>
      <c r="AF113" cm="1">
        <f t="array" aca="1" ref="AF113" ca="1">GetPin_RA8D1_32SD_MIPI</f>
        <v>0</v>
      </c>
      <c r="AG113" cm="1">
        <f t="array" aca="1" ref="AG113" ca="1">GetPin_RA8D1_32SD_MIPI</f>
        <v>0</v>
      </c>
      <c r="AH113" cm="1">
        <f t="array" aca="1" ref="AH113" ca="1">GetPin_RA8D1_32SD_MIPI</f>
        <v>0</v>
      </c>
      <c r="AI113" cm="1">
        <f t="array" aca="1" ref="AI113" ca="1">GetPin_RA8D1_32SD_MIPI</f>
        <v>0</v>
      </c>
      <c r="AJ113" cm="1">
        <f t="array" aca="1" ref="AJ113" ca="1">GetPin_RA8D1_32SD_MIPI</f>
        <v>0</v>
      </c>
      <c r="AK113" cm="1">
        <f t="array" aca="1" ref="AK113" ca="1">GetPin_RA8D1_32SD_MIPI</f>
        <v>0</v>
      </c>
      <c r="AL113" cm="1">
        <f t="array" aca="1" ref="AL113" ca="1">GetPin_RA8D1_32SD_MIPI</f>
        <v>0</v>
      </c>
      <c r="AM113" cm="1">
        <f t="array" aca="1" ref="AM113" ca="1">GetPin_RA8D1_32SD_MIPI</f>
        <v>0</v>
      </c>
      <c r="AN113" cm="1">
        <f t="array" aca="1" ref="AN113" ca="1">GetPin_RA8D1_32SD_MIPI</f>
        <v>0</v>
      </c>
      <c r="AO113" cm="1">
        <f t="array" aca="1" ref="AO113" ca="1">GetPin_RA8D1_32SD_MIPI</f>
        <v>0</v>
      </c>
      <c r="AP113" cm="1">
        <f t="array" aca="1" ref="AP113" ca="1">GetPin_RA8D1_32SD_MIPI</f>
        <v>0</v>
      </c>
      <c r="AQ113" cm="1">
        <f t="array" aca="1" ref="AQ113" ca="1">GetPin_RA8D1_32SD_MIPI</f>
        <v>0</v>
      </c>
      <c r="AR113" cm="1">
        <f t="array" aca="1" ref="AR113" ca="1">GetPin_RA8D1_32SD_MIPI</f>
        <v>0</v>
      </c>
      <c r="AS113" cm="1">
        <f t="array" aca="1" ref="AS113" ca="1">GetPin_RA8D1_32SD_MIPI</f>
        <v>0</v>
      </c>
      <c r="AT113" cm="1">
        <f t="array" aca="1" ref="AT113" ca="1">GetPin_RA8D1_32SD_MIPI</f>
        <v>0</v>
      </c>
      <c r="AU113" cm="1">
        <f t="array" aca="1" ref="AU113" ca="1">GetPin_RA8D1_32SD_MIPI</f>
        <v>0</v>
      </c>
      <c r="AV113" cm="1">
        <f t="array" aca="1" ref="AV113" ca="1">GetPin_RA8D1_32SD_MIPI</f>
        <v>0</v>
      </c>
      <c r="AW113" cm="1">
        <f t="array" aca="1" ref="AW113" ca="1">GetPin_RA8D1_32SD_MIPI</f>
        <v>0</v>
      </c>
      <c r="AX113" cm="1">
        <f t="array" aca="1" ref="AX113" ca="1">GetPin_RA8D1_32SD_MIPI</f>
        <v>0</v>
      </c>
      <c r="AY113" cm="1">
        <f t="array" aca="1" ref="AY113" ca="1">GetPin_RA8D1_32SD_MIPI</f>
        <v>0</v>
      </c>
      <c r="AZ113" cm="1">
        <f t="array" aca="1" ref="AZ113" ca="1">GetPin_RA8D1_32SD_MIPI</f>
        <v>0</v>
      </c>
      <c r="BA113" cm="1">
        <f t="array" aca="1" ref="BA113" ca="1">GetPin_RA8D1_32SD_MIPI</f>
        <v>0</v>
      </c>
      <c r="BB113" cm="1">
        <f t="array" aca="1" ref="BB113" ca="1">GetPin_RA8D1_32SD_MIPI</f>
        <v>0</v>
      </c>
      <c r="BC113" cm="1">
        <f t="array" aca="1" ref="BC113" ca="1">GetPin_RA8D1_32SD_MIPI</f>
        <v>0</v>
      </c>
      <c r="BD113" cm="1">
        <f t="array" aca="1" ref="BD113" ca="1">GetPin_RA8D1_32SD_MIPI</f>
        <v>0</v>
      </c>
      <c r="BG113">
        <v>140</v>
      </c>
    </row>
    <row r="114" spans="17:59" x14ac:dyDescent="0.25">
      <c r="Q114">
        <f>IF(ISBLANK(BoardBTB!Q114),-1,(COUNTIF(U114:BD114,4)*4+IF(COUNTIF(U114:BD114,2),1,0)*2+IF(COUNTIF(U114:BD114,1),1,0)))</f>
        <v>-1</v>
      </c>
      <c r="R114">
        <f>IF(ISBLANK(BoardBTB!R114),-1,(COUNTIF(U114:BD114,4)*4+IF(COUNTIF(U114:BD114,2),1,0)*2+IF(COUNTIF(U114:BD114,1),1,0)))</f>
        <v>-1</v>
      </c>
      <c r="S114">
        <f>IF(ISBLANK(BoardBTB!S114),-1,(COUNTIF(U114:BD114,4)*4+IF(COUNTIF(U114:BD114,2),1,0)*2+IF(COUNTIF(U114:BD114,1),1,0)))</f>
        <v>-1</v>
      </c>
      <c r="T114">
        <f ca="1">IF(ISBLANK(BoardBTB!T114),-1,(COUNTIF(U114:BD114,4)*4+IF(COUNTIF(U114:BD114,2),1,0)*2+IF(COUNTIF(U114:BD114,1),1,0)))</f>
        <v>0</v>
      </c>
      <c r="U114" cm="1">
        <f t="array" aca="1" ref="U114" ca="1">GetPin_RA8D1_32SD_MIPI</f>
        <v>0</v>
      </c>
      <c r="V114" cm="1">
        <f t="array" aca="1" ref="V114" ca="1">GetPin_RA8D1_32SD_MIPI</f>
        <v>0</v>
      </c>
      <c r="W114" cm="1">
        <f t="array" aca="1" ref="W114" ca="1">GetPin_RA8D1_32SD_MIPI</f>
        <v>0</v>
      </c>
      <c r="X114" cm="1">
        <f t="array" aca="1" ref="X114" ca="1">GetPin_RA8D1_32SD_MIPI</f>
        <v>0</v>
      </c>
      <c r="Y114" cm="1">
        <f t="array" aca="1" ref="Y114" ca="1">GetPin_RA8D1_32SD_MIPI</f>
        <v>0</v>
      </c>
      <c r="Z114" cm="1">
        <f t="array" aca="1" ref="Z114" ca="1">GetPin_RA8D1_32SD_MIPI</f>
        <v>0</v>
      </c>
      <c r="AA114" cm="1">
        <f t="array" aca="1" ref="AA114" ca="1">GetPin_RA8D1_32SD_MIPI</f>
        <v>0</v>
      </c>
      <c r="AB114" cm="1">
        <f t="array" aca="1" ref="AB114" ca="1">GetPin_RA8D1_32SD_MIPI</f>
        <v>0</v>
      </c>
      <c r="AC114" cm="1">
        <f t="array" aca="1" ref="AC114" ca="1">GetPin_RA8D1_32SD_MIPI</f>
        <v>0</v>
      </c>
      <c r="AD114" cm="1">
        <f t="array" aca="1" ref="AD114" ca="1">GetPin_RA8D1_32SD_MIPI</f>
        <v>0</v>
      </c>
      <c r="AE114" cm="1">
        <f t="array" aca="1" ref="AE114" ca="1">GetPin_RA8D1_32SD_MIPI</f>
        <v>0</v>
      </c>
      <c r="AF114" cm="1">
        <f t="array" aca="1" ref="AF114" ca="1">GetPin_RA8D1_32SD_MIPI</f>
        <v>0</v>
      </c>
      <c r="AG114" cm="1">
        <f t="array" aca="1" ref="AG114" ca="1">GetPin_RA8D1_32SD_MIPI</f>
        <v>0</v>
      </c>
      <c r="AH114" cm="1">
        <f t="array" aca="1" ref="AH114" ca="1">GetPin_RA8D1_32SD_MIPI</f>
        <v>0</v>
      </c>
      <c r="AI114" cm="1">
        <f t="array" aca="1" ref="AI114" ca="1">GetPin_RA8D1_32SD_MIPI</f>
        <v>0</v>
      </c>
      <c r="AJ114" cm="1">
        <f t="array" aca="1" ref="AJ114" ca="1">GetPin_RA8D1_32SD_MIPI</f>
        <v>0</v>
      </c>
      <c r="AK114" cm="1">
        <f t="array" aca="1" ref="AK114" ca="1">GetPin_RA8D1_32SD_MIPI</f>
        <v>0</v>
      </c>
      <c r="AL114" cm="1">
        <f t="array" aca="1" ref="AL114" ca="1">GetPin_RA8D1_32SD_MIPI</f>
        <v>0</v>
      </c>
      <c r="AM114" cm="1">
        <f t="array" aca="1" ref="AM114" ca="1">GetPin_RA8D1_32SD_MIPI</f>
        <v>0</v>
      </c>
      <c r="AN114" cm="1">
        <f t="array" aca="1" ref="AN114" ca="1">GetPin_RA8D1_32SD_MIPI</f>
        <v>0</v>
      </c>
      <c r="AO114" cm="1">
        <f t="array" aca="1" ref="AO114" ca="1">GetPin_RA8D1_32SD_MIPI</f>
        <v>0</v>
      </c>
      <c r="AP114" cm="1">
        <f t="array" aca="1" ref="AP114" ca="1">GetPin_RA8D1_32SD_MIPI</f>
        <v>0</v>
      </c>
      <c r="AQ114" cm="1">
        <f t="array" aca="1" ref="AQ114" ca="1">GetPin_RA8D1_32SD_MIPI</f>
        <v>0</v>
      </c>
      <c r="AR114" cm="1">
        <f t="array" aca="1" ref="AR114" ca="1">GetPin_RA8D1_32SD_MIPI</f>
        <v>0</v>
      </c>
      <c r="AS114" cm="1">
        <f t="array" aca="1" ref="AS114" ca="1">GetPin_RA8D1_32SD_MIPI</f>
        <v>0</v>
      </c>
      <c r="AT114" cm="1">
        <f t="array" aca="1" ref="AT114" ca="1">GetPin_RA8D1_32SD_MIPI</f>
        <v>0</v>
      </c>
      <c r="AU114" cm="1">
        <f t="array" aca="1" ref="AU114" ca="1">GetPin_RA8D1_32SD_MIPI</f>
        <v>0</v>
      </c>
      <c r="AV114" cm="1">
        <f t="array" aca="1" ref="AV114" ca="1">GetPin_RA8D1_32SD_MIPI</f>
        <v>0</v>
      </c>
      <c r="AW114" cm="1">
        <f t="array" aca="1" ref="AW114" ca="1">GetPin_RA8D1_32SD_MIPI</f>
        <v>0</v>
      </c>
      <c r="AX114" cm="1">
        <f t="array" aca="1" ref="AX114" ca="1">GetPin_RA8D1_32SD_MIPI</f>
        <v>0</v>
      </c>
      <c r="AY114" cm="1">
        <f t="array" aca="1" ref="AY114" ca="1">GetPin_RA8D1_32SD_MIPI</f>
        <v>0</v>
      </c>
      <c r="AZ114" cm="1">
        <f t="array" aca="1" ref="AZ114" ca="1">GetPin_RA8D1_32SD_MIPI</f>
        <v>0</v>
      </c>
      <c r="BA114" cm="1">
        <f t="array" aca="1" ref="BA114" ca="1">GetPin_RA8D1_32SD_MIPI</f>
        <v>0</v>
      </c>
      <c r="BB114" cm="1">
        <f t="array" aca="1" ref="BB114" ca="1">GetPin_RA8D1_32SD_MIPI</f>
        <v>0</v>
      </c>
      <c r="BC114" cm="1">
        <f t="array" aca="1" ref="BC114" ca="1">GetPin_RA8D1_32SD_MIPI</f>
        <v>0</v>
      </c>
      <c r="BD114" cm="1">
        <f t="array" aca="1" ref="BD114" ca="1">GetPin_RA8D1_32SD_MIPI</f>
        <v>0</v>
      </c>
      <c r="BG114">
        <v>141</v>
      </c>
    </row>
    <row r="115" spans="17:59" x14ac:dyDescent="0.25">
      <c r="Q115">
        <f>IF(ISBLANK(BoardBTB!Q115),-1,(COUNTIF(U115:BD115,4)*4+IF(COUNTIF(U115:BD115,2),1,0)*2+IF(COUNTIF(U115:BD115,1),1,0)))</f>
        <v>-1</v>
      </c>
      <c r="R115">
        <f>IF(ISBLANK(BoardBTB!R115),-1,(COUNTIF(U115:BD115,4)*4+IF(COUNTIF(U115:BD115,2),1,0)*2+IF(COUNTIF(U115:BD115,1),1,0)))</f>
        <v>-1</v>
      </c>
      <c r="S115">
        <f>IF(ISBLANK(BoardBTB!S115),-1,(COUNTIF(U115:BD115,4)*4+IF(COUNTIF(U115:BD115,2),1,0)*2+IF(COUNTIF(U115:BD115,1),1,0)))</f>
        <v>-1</v>
      </c>
      <c r="T115">
        <f ca="1">IF(ISBLANK(BoardBTB!T115),-1,(COUNTIF(U115:BD115,4)*4+IF(COUNTIF(U115:BD115,2),1,0)*2+IF(COUNTIF(U115:BD115,1),1,0)))</f>
        <v>0</v>
      </c>
      <c r="U115" cm="1">
        <f t="array" aca="1" ref="U115" ca="1">GetPin_RA8D1_32SD_MIPI</f>
        <v>0</v>
      </c>
      <c r="V115" cm="1">
        <f t="array" aca="1" ref="V115" ca="1">GetPin_RA8D1_32SD_MIPI</f>
        <v>0</v>
      </c>
      <c r="W115" cm="1">
        <f t="array" aca="1" ref="W115" ca="1">GetPin_RA8D1_32SD_MIPI</f>
        <v>0</v>
      </c>
      <c r="X115" cm="1">
        <f t="array" aca="1" ref="X115" ca="1">GetPin_RA8D1_32SD_MIPI</f>
        <v>0</v>
      </c>
      <c r="Y115" cm="1">
        <f t="array" aca="1" ref="Y115" ca="1">GetPin_RA8D1_32SD_MIPI</f>
        <v>0</v>
      </c>
      <c r="Z115" cm="1">
        <f t="array" aca="1" ref="Z115" ca="1">GetPin_RA8D1_32SD_MIPI</f>
        <v>0</v>
      </c>
      <c r="AA115" cm="1">
        <f t="array" aca="1" ref="AA115" ca="1">GetPin_RA8D1_32SD_MIPI</f>
        <v>0</v>
      </c>
      <c r="AB115" cm="1">
        <f t="array" aca="1" ref="AB115" ca="1">GetPin_RA8D1_32SD_MIPI</f>
        <v>0</v>
      </c>
      <c r="AC115" cm="1">
        <f t="array" aca="1" ref="AC115" ca="1">GetPin_RA8D1_32SD_MIPI</f>
        <v>0</v>
      </c>
      <c r="AD115" cm="1">
        <f t="array" aca="1" ref="AD115" ca="1">GetPin_RA8D1_32SD_MIPI</f>
        <v>0</v>
      </c>
      <c r="AE115" cm="1">
        <f t="array" aca="1" ref="AE115" ca="1">GetPin_RA8D1_32SD_MIPI</f>
        <v>0</v>
      </c>
      <c r="AF115" cm="1">
        <f t="array" aca="1" ref="AF115" ca="1">GetPin_RA8D1_32SD_MIPI</f>
        <v>0</v>
      </c>
      <c r="AG115" cm="1">
        <f t="array" aca="1" ref="AG115" ca="1">GetPin_RA8D1_32SD_MIPI</f>
        <v>0</v>
      </c>
      <c r="AH115" cm="1">
        <f t="array" aca="1" ref="AH115" ca="1">GetPin_RA8D1_32SD_MIPI</f>
        <v>0</v>
      </c>
      <c r="AI115" cm="1">
        <f t="array" aca="1" ref="AI115" ca="1">GetPin_RA8D1_32SD_MIPI</f>
        <v>0</v>
      </c>
      <c r="AJ115" cm="1">
        <f t="array" aca="1" ref="AJ115" ca="1">GetPin_RA8D1_32SD_MIPI</f>
        <v>0</v>
      </c>
      <c r="AK115" cm="1">
        <f t="array" aca="1" ref="AK115" ca="1">GetPin_RA8D1_32SD_MIPI</f>
        <v>0</v>
      </c>
      <c r="AL115" cm="1">
        <f t="array" aca="1" ref="AL115" ca="1">GetPin_RA8D1_32SD_MIPI</f>
        <v>0</v>
      </c>
      <c r="AM115" cm="1">
        <f t="array" aca="1" ref="AM115" ca="1">GetPin_RA8D1_32SD_MIPI</f>
        <v>0</v>
      </c>
      <c r="AN115" cm="1">
        <f t="array" aca="1" ref="AN115" ca="1">GetPin_RA8D1_32SD_MIPI</f>
        <v>0</v>
      </c>
      <c r="AO115" cm="1">
        <f t="array" aca="1" ref="AO115" ca="1">GetPin_RA8D1_32SD_MIPI</f>
        <v>0</v>
      </c>
      <c r="AP115" cm="1">
        <f t="array" aca="1" ref="AP115" ca="1">GetPin_RA8D1_32SD_MIPI</f>
        <v>0</v>
      </c>
      <c r="AQ115" cm="1">
        <f t="array" aca="1" ref="AQ115" ca="1">GetPin_RA8D1_32SD_MIPI</f>
        <v>0</v>
      </c>
      <c r="AR115" cm="1">
        <f t="array" aca="1" ref="AR115" ca="1">GetPin_RA8D1_32SD_MIPI</f>
        <v>0</v>
      </c>
      <c r="AS115" cm="1">
        <f t="array" aca="1" ref="AS115" ca="1">GetPin_RA8D1_32SD_MIPI</f>
        <v>0</v>
      </c>
      <c r="AT115" cm="1">
        <f t="array" aca="1" ref="AT115" ca="1">GetPin_RA8D1_32SD_MIPI</f>
        <v>0</v>
      </c>
      <c r="AU115" cm="1">
        <f t="array" aca="1" ref="AU115" ca="1">GetPin_RA8D1_32SD_MIPI</f>
        <v>0</v>
      </c>
      <c r="AV115" cm="1">
        <f t="array" aca="1" ref="AV115" ca="1">GetPin_RA8D1_32SD_MIPI</f>
        <v>0</v>
      </c>
      <c r="AW115" cm="1">
        <f t="array" aca="1" ref="AW115" ca="1">GetPin_RA8D1_32SD_MIPI</f>
        <v>0</v>
      </c>
      <c r="AX115" cm="1">
        <f t="array" aca="1" ref="AX115" ca="1">GetPin_RA8D1_32SD_MIPI</f>
        <v>0</v>
      </c>
      <c r="AY115" cm="1">
        <f t="array" aca="1" ref="AY115" ca="1">GetPin_RA8D1_32SD_MIPI</f>
        <v>0</v>
      </c>
      <c r="AZ115" cm="1">
        <f t="array" aca="1" ref="AZ115" ca="1">GetPin_RA8D1_32SD_MIPI</f>
        <v>0</v>
      </c>
      <c r="BA115" cm="1">
        <f t="array" aca="1" ref="BA115" ca="1">GetPin_RA8D1_32SD_MIPI</f>
        <v>0</v>
      </c>
      <c r="BB115" cm="1">
        <f t="array" aca="1" ref="BB115" ca="1">GetPin_RA8D1_32SD_MIPI</f>
        <v>0</v>
      </c>
      <c r="BC115" cm="1">
        <f t="array" aca="1" ref="BC115" ca="1">GetPin_RA8D1_32SD_MIPI</f>
        <v>0</v>
      </c>
      <c r="BD115" cm="1">
        <f t="array" aca="1" ref="BD115" ca="1">GetPin_RA8D1_32SD_MIPI</f>
        <v>0</v>
      </c>
      <c r="BG115">
        <v>142</v>
      </c>
    </row>
    <row r="116" spans="17:59" x14ac:dyDescent="0.25">
      <c r="Q116">
        <f>IF(ISBLANK(BoardBTB!Q116),-1,(COUNTIF(U116:BD116,4)*4+IF(COUNTIF(U116:BD116,2),1,0)*2+IF(COUNTIF(U116:BD116,1),1,0)))</f>
        <v>-1</v>
      </c>
      <c r="R116">
        <f>IF(ISBLANK(BoardBTB!R116),-1,(COUNTIF(U116:BD116,4)*4+IF(COUNTIF(U116:BD116,2),1,0)*2+IF(COUNTIF(U116:BD116,1),1,0)))</f>
        <v>-1</v>
      </c>
      <c r="S116">
        <f>IF(ISBLANK(BoardBTB!S116),-1,(COUNTIF(U116:BD116,4)*4+IF(COUNTIF(U116:BD116,2),1,0)*2+IF(COUNTIF(U116:BD116,1),1,0)))</f>
        <v>-1</v>
      </c>
      <c r="T116">
        <f ca="1">IF(ISBLANK(BoardBTB!T116),-1,(COUNTIF(U116:BD116,4)*4+IF(COUNTIF(U116:BD116,2),1,0)*2+IF(COUNTIF(U116:BD116,1),1,0)))</f>
        <v>0</v>
      </c>
      <c r="U116" cm="1">
        <f t="array" aca="1" ref="U116" ca="1">GetPin_RA8D1_32SD_MIPI</f>
        <v>0</v>
      </c>
      <c r="V116" cm="1">
        <f t="array" aca="1" ref="V116" ca="1">GetPin_RA8D1_32SD_MIPI</f>
        <v>0</v>
      </c>
      <c r="W116" cm="1">
        <f t="array" aca="1" ref="W116" ca="1">GetPin_RA8D1_32SD_MIPI</f>
        <v>0</v>
      </c>
      <c r="X116" cm="1">
        <f t="array" aca="1" ref="X116" ca="1">GetPin_RA8D1_32SD_MIPI</f>
        <v>0</v>
      </c>
      <c r="Y116" cm="1">
        <f t="array" aca="1" ref="Y116" ca="1">GetPin_RA8D1_32SD_MIPI</f>
        <v>0</v>
      </c>
      <c r="Z116" cm="1">
        <f t="array" aca="1" ref="Z116" ca="1">GetPin_RA8D1_32SD_MIPI</f>
        <v>0</v>
      </c>
      <c r="AA116" cm="1">
        <f t="array" aca="1" ref="AA116" ca="1">GetPin_RA8D1_32SD_MIPI</f>
        <v>0</v>
      </c>
      <c r="AB116" cm="1">
        <f t="array" aca="1" ref="AB116" ca="1">GetPin_RA8D1_32SD_MIPI</f>
        <v>0</v>
      </c>
      <c r="AC116" cm="1">
        <f t="array" aca="1" ref="AC116" ca="1">GetPin_RA8D1_32SD_MIPI</f>
        <v>0</v>
      </c>
      <c r="AD116" cm="1">
        <f t="array" aca="1" ref="AD116" ca="1">GetPin_RA8D1_32SD_MIPI</f>
        <v>0</v>
      </c>
      <c r="AE116" cm="1">
        <f t="array" aca="1" ref="AE116" ca="1">GetPin_RA8D1_32SD_MIPI</f>
        <v>0</v>
      </c>
      <c r="AF116" cm="1">
        <f t="array" aca="1" ref="AF116" ca="1">GetPin_RA8D1_32SD_MIPI</f>
        <v>0</v>
      </c>
      <c r="AG116" cm="1">
        <f t="array" aca="1" ref="AG116" ca="1">GetPin_RA8D1_32SD_MIPI</f>
        <v>0</v>
      </c>
      <c r="AH116" cm="1">
        <f t="array" aca="1" ref="AH116" ca="1">GetPin_RA8D1_32SD_MIPI</f>
        <v>0</v>
      </c>
      <c r="AI116" cm="1">
        <f t="array" aca="1" ref="AI116" ca="1">GetPin_RA8D1_32SD_MIPI</f>
        <v>0</v>
      </c>
      <c r="AJ116" cm="1">
        <f t="array" aca="1" ref="AJ116" ca="1">GetPin_RA8D1_32SD_MIPI</f>
        <v>0</v>
      </c>
      <c r="AK116" cm="1">
        <f t="array" aca="1" ref="AK116" ca="1">GetPin_RA8D1_32SD_MIPI</f>
        <v>0</v>
      </c>
      <c r="AL116" cm="1">
        <f t="array" aca="1" ref="AL116" ca="1">GetPin_RA8D1_32SD_MIPI</f>
        <v>0</v>
      </c>
      <c r="AM116" cm="1">
        <f t="array" aca="1" ref="AM116" ca="1">GetPin_RA8D1_32SD_MIPI</f>
        <v>0</v>
      </c>
      <c r="AN116" cm="1">
        <f t="array" aca="1" ref="AN116" ca="1">GetPin_RA8D1_32SD_MIPI</f>
        <v>0</v>
      </c>
      <c r="AO116" cm="1">
        <f t="array" aca="1" ref="AO116" ca="1">GetPin_RA8D1_32SD_MIPI</f>
        <v>0</v>
      </c>
      <c r="AP116" cm="1">
        <f t="array" aca="1" ref="AP116" ca="1">GetPin_RA8D1_32SD_MIPI</f>
        <v>0</v>
      </c>
      <c r="AQ116" cm="1">
        <f t="array" aca="1" ref="AQ116" ca="1">GetPin_RA8D1_32SD_MIPI</f>
        <v>0</v>
      </c>
      <c r="AR116" cm="1">
        <f t="array" aca="1" ref="AR116" ca="1">GetPin_RA8D1_32SD_MIPI</f>
        <v>0</v>
      </c>
      <c r="AS116" cm="1">
        <f t="array" aca="1" ref="AS116" ca="1">GetPin_RA8D1_32SD_MIPI</f>
        <v>0</v>
      </c>
      <c r="AT116" cm="1">
        <f t="array" aca="1" ref="AT116" ca="1">GetPin_RA8D1_32SD_MIPI</f>
        <v>0</v>
      </c>
      <c r="AU116" cm="1">
        <f t="array" aca="1" ref="AU116" ca="1">GetPin_RA8D1_32SD_MIPI</f>
        <v>0</v>
      </c>
      <c r="AV116" cm="1">
        <f t="array" aca="1" ref="AV116" ca="1">GetPin_RA8D1_32SD_MIPI</f>
        <v>0</v>
      </c>
      <c r="AW116" cm="1">
        <f t="array" aca="1" ref="AW116" ca="1">GetPin_RA8D1_32SD_MIPI</f>
        <v>0</v>
      </c>
      <c r="AX116" cm="1">
        <f t="array" aca="1" ref="AX116" ca="1">GetPin_RA8D1_32SD_MIPI</f>
        <v>0</v>
      </c>
      <c r="AY116" cm="1">
        <f t="array" aca="1" ref="AY116" ca="1">GetPin_RA8D1_32SD_MIPI</f>
        <v>0</v>
      </c>
      <c r="AZ116" cm="1">
        <f t="array" aca="1" ref="AZ116" ca="1">GetPin_RA8D1_32SD_MIPI</f>
        <v>0</v>
      </c>
      <c r="BA116" cm="1">
        <f t="array" aca="1" ref="BA116" ca="1">GetPin_RA8D1_32SD_MIPI</f>
        <v>0</v>
      </c>
      <c r="BB116" cm="1">
        <f t="array" aca="1" ref="BB116" ca="1">GetPin_RA8D1_32SD_MIPI</f>
        <v>0</v>
      </c>
      <c r="BC116" cm="1">
        <f t="array" aca="1" ref="BC116" ca="1">GetPin_RA8D1_32SD_MIPI</f>
        <v>0</v>
      </c>
      <c r="BD116" cm="1">
        <f t="array" aca="1" ref="BD116" ca="1">GetPin_RA8D1_32SD_MIPI</f>
        <v>0</v>
      </c>
      <c r="BG116">
        <v>143</v>
      </c>
    </row>
    <row r="117" spans="17:59" x14ac:dyDescent="0.25">
      <c r="Q117">
        <f>IF(ISBLANK(BoardBTB!Q117),-1,(COUNTIF(U117:BD117,4)*4+IF(COUNTIF(U117:BD117,2),1,0)*2+IF(COUNTIF(U117:BD117,1),1,0)))</f>
        <v>-1</v>
      </c>
      <c r="R117">
        <f>IF(ISBLANK(BoardBTB!R117),-1,(COUNTIF(U117:BD117,4)*4+IF(COUNTIF(U117:BD117,2),1,0)*2+IF(COUNTIF(U117:BD117,1),1,0)))</f>
        <v>-1</v>
      </c>
      <c r="S117">
        <f>IF(ISBLANK(BoardBTB!S117),-1,(COUNTIF(U117:BD117,4)*4+IF(COUNTIF(U117:BD117,2),1,0)*2+IF(COUNTIF(U117:BD117,1),1,0)))</f>
        <v>-1</v>
      </c>
      <c r="T117">
        <f ca="1">IF(ISBLANK(BoardBTB!T117),-1,(COUNTIF(U117:BD117,4)*4+IF(COUNTIF(U117:BD117,2),1,0)*2+IF(COUNTIF(U117:BD117,1),1,0)))</f>
        <v>0</v>
      </c>
      <c r="U117" cm="1">
        <f t="array" aca="1" ref="U117" ca="1">GetPin_RA8D1_32SD_MIPI</f>
        <v>0</v>
      </c>
      <c r="V117" cm="1">
        <f t="array" aca="1" ref="V117" ca="1">GetPin_RA8D1_32SD_MIPI</f>
        <v>0</v>
      </c>
      <c r="W117" cm="1">
        <f t="array" aca="1" ref="W117" ca="1">GetPin_RA8D1_32SD_MIPI</f>
        <v>0</v>
      </c>
      <c r="X117" cm="1">
        <f t="array" aca="1" ref="X117" ca="1">GetPin_RA8D1_32SD_MIPI</f>
        <v>0</v>
      </c>
      <c r="Y117" cm="1">
        <f t="array" aca="1" ref="Y117" ca="1">GetPin_RA8D1_32SD_MIPI</f>
        <v>0</v>
      </c>
      <c r="Z117" cm="1">
        <f t="array" aca="1" ref="Z117" ca="1">GetPin_RA8D1_32SD_MIPI</f>
        <v>0</v>
      </c>
      <c r="AA117" cm="1">
        <f t="array" aca="1" ref="AA117" ca="1">GetPin_RA8D1_32SD_MIPI</f>
        <v>0</v>
      </c>
      <c r="AB117" cm="1">
        <f t="array" aca="1" ref="AB117" ca="1">GetPin_RA8D1_32SD_MIPI</f>
        <v>0</v>
      </c>
      <c r="AC117" cm="1">
        <f t="array" aca="1" ref="AC117" ca="1">GetPin_RA8D1_32SD_MIPI</f>
        <v>0</v>
      </c>
      <c r="AD117" cm="1">
        <f t="array" aca="1" ref="AD117" ca="1">GetPin_RA8D1_32SD_MIPI</f>
        <v>0</v>
      </c>
      <c r="AE117" cm="1">
        <f t="array" aca="1" ref="AE117" ca="1">GetPin_RA8D1_32SD_MIPI</f>
        <v>0</v>
      </c>
      <c r="AF117" cm="1">
        <f t="array" aca="1" ref="AF117" ca="1">GetPin_RA8D1_32SD_MIPI</f>
        <v>0</v>
      </c>
      <c r="AG117" cm="1">
        <f t="array" aca="1" ref="AG117" ca="1">GetPin_RA8D1_32SD_MIPI</f>
        <v>0</v>
      </c>
      <c r="AH117" cm="1">
        <f t="array" aca="1" ref="AH117" ca="1">GetPin_RA8D1_32SD_MIPI</f>
        <v>0</v>
      </c>
      <c r="AI117" cm="1">
        <f t="array" aca="1" ref="AI117" ca="1">GetPin_RA8D1_32SD_MIPI</f>
        <v>0</v>
      </c>
      <c r="AJ117" cm="1">
        <f t="array" aca="1" ref="AJ117" ca="1">GetPin_RA8D1_32SD_MIPI</f>
        <v>0</v>
      </c>
      <c r="AK117" cm="1">
        <f t="array" aca="1" ref="AK117" ca="1">GetPin_RA8D1_32SD_MIPI</f>
        <v>0</v>
      </c>
      <c r="AL117" cm="1">
        <f t="array" aca="1" ref="AL117" ca="1">GetPin_RA8D1_32SD_MIPI</f>
        <v>0</v>
      </c>
      <c r="AM117" cm="1">
        <f t="array" aca="1" ref="AM117" ca="1">GetPin_RA8D1_32SD_MIPI</f>
        <v>0</v>
      </c>
      <c r="AN117" cm="1">
        <f t="array" aca="1" ref="AN117" ca="1">GetPin_RA8D1_32SD_MIPI</f>
        <v>0</v>
      </c>
      <c r="AO117" cm="1">
        <f t="array" aca="1" ref="AO117" ca="1">GetPin_RA8D1_32SD_MIPI</f>
        <v>0</v>
      </c>
      <c r="AP117" cm="1">
        <f t="array" aca="1" ref="AP117" ca="1">GetPin_RA8D1_32SD_MIPI</f>
        <v>0</v>
      </c>
      <c r="AQ117" cm="1">
        <f t="array" aca="1" ref="AQ117" ca="1">GetPin_RA8D1_32SD_MIPI</f>
        <v>0</v>
      </c>
      <c r="AR117" cm="1">
        <f t="array" aca="1" ref="AR117" ca="1">GetPin_RA8D1_32SD_MIPI</f>
        <v>0</v>
      </c>
      <c r="AS117" cm="1">
        <f t="array" aca="1" ref="AS117" ca="1">GetPin_RA8D1_32SD_MIPI</f>
        <v>0</v>
      </c>
      <c r="AT117" cm="1">
        <f t="array" aca="1" ref="AT117" ca="1">GetPin_RA8D1_32SD_MIPI</f>
        <v>0</v>
      </c>
      <c r="AU117" cm="1">
        <f t="array" aca="1" ref="AU117" ca="1">GetPin_RA8D1_32SD_MIPI</f>
        <v>0</v>
      </c>
      <c r="AV117" cm="1">
        <f t="array" aca="1" ref="AV117" ca="1">GetPin_RA8D1_32SD_MIPI</f>
        <v>0</v>
      </c>
      <c r="AW117" cm="1">
        <f t="array" aca="1" ref="AW117" ca="1">GetPin_RA8D1_32SD_MIPI</f>
        <v>0</v>
      </c>
      <c r="AX117" cm="1">
        <f t="array" aca="1" ref="AX117" ca="1">GetPin_RA8D1_32SD_MIPI</f>
        <v>0</v>
      </c>
      <c r="AY117" cm="1">
        <f t="array" aca="1" ref="AY117" ca="1">GetPin_RA8D1_32SD_MIPI</f>
        <v>0</v>
      </c>
      <c r="AZ117" cm="1">
        <f t="array" aca="1" ref="AZ117" ca="1">GetPin_RA8D1_32SD_MIPI</f>
        <v>0</v>
      </c>
      <c r="BA117" cm="1">
        <f t="array" aca="1" ref="BA117" ca="1">GetPin_RA8D1_32SD_MIPI</f>
        <v>0</v>
      </c>
      <c r="BB117" cm="1">
        <f t="array" aca="1" ref="BB117" ca="1">GetPin_RA8D1_32SD_MIPI</f>
        <v>0</v>
      </c>
      <c r="BC117" cm="1">
        <f t="array" aca="1" ref="BC117" ca="1">GetPin_RA8D1_32SD_MIPI</f>
        <v>0</v>
      </c>
      <c r="BD117" cm="1">
        <f t="array" aca="1" ref="BD117" ca="1">GetPin_RA8D1_32SD_MIPI</f>
        <v>0</v>
      </c>
      <c r="BG117">
        <v>144</v>
      </c>
    </row>
    <row r="118" spans="17:59" x14ac:dyDescent="0.25">
      <c r="Q118">
        <f>IF(ISBLANK(BoardBTB!Q118),-1,(COUNTIF(U118:BD118,4)*4+IF(COUNTIF(U118:BD118,2),1,0)*2+IF(COUNTIF(U118:BD118,1),1,0)))</f>
        <v>-1</v>
      </c>
      <c r="R118">
        <f>IF(ISBLANK(BoardBTB!R118),-1,(COUNTIF(U118:BD118,4)*4+IF(COUNTIF(U118:BD118,2),1,0)*2+IF(COUNTIF(U118:BD118,1),1,0)))</f>
        <v>-1</v>
      </c>
      <c r="S118">
        <f>IF(ISBLANK(BoardBTB!S118),-1,(COUNTIF(U118:BD118,4)*4+IF(COUNTIF(U118:BD118,2),1,0)*2+IF(COUNTIF(U118:BD118,1),1,0)))</f>
        <v>-1</v>
      </c>
      <c r="T118">
        <f ca="1">IF(ISBLANK(BoardBTB!T118),-1,(COUNTIF(U118:BD118,4)*4+IF(COUNTIF(U118:BD118,2),1,0)*2+IF(COUNTIF(U118:BD118,1),1,0)))</f>
        <v>0</v>
      </c>
      <c r="U118" cm="1">
        <f t="array" aca="1" ref="U118" ca="1">GetPin_RA8D1_32SD_MIPI</f>
        <v>0</v>
      </c>
      <c r="V118" cm="1">
        <f t="array" aca="1" ref="V118" ca="1">GetPin_RA8D1_32SD_MIPI</f>
        <v>0</v>
      </c>
      <c r="W118" cm="1">
        <f t="array" aca="1" ref="W118" ca="1">GetPin_RA8D1_32SD_MIPI</f>
        <v>0</v>
      </c>
      <c r="X118" cm="1">
        <f t="array" aca="1" ref="X118" ca="1">GetPin_RA8D1_32SD_MIPI</f>
        <v>0</v>
      </c>
      <c r="Y118" cm="1">
        <f t="array" aca="1" ref="Y118" ca="1">GetPin_RA8D1_32SD_MIPI</f>
        <v>0</v>
      </c>
      <c r="Z118" cm="1">
        <f t="array" aca="1" ref="Z118" ca="1">GetPin_RA8D1_32SD_MIPI</f>
        <v>0</v>
      </c>
      <c r="AA118" cm="1">
        <f t="array" aca="1" ref="AA118" ca="1">GetPin_RA8D1_32SD_MIPI</f>
        <v>0</v>
      </c>
      <c r="AB118" cm="1">
        <f t="array" aca="1" ref="AB118" ca="1">GetPin_RA8D1_32SD_MIPI</f>
        <v>0</v>
      </c>
      <c r="AC118" cm="1">
        <f t="array" aca="1" ref="AC118" ca="1">GetPin_RA8D1_32SD_MIPI</f>
        <v>0</v>
      </c>
      <c r="AD118" cm="1">
        <f t="array" aca="1" ref="AD118" ca="1">GetPin_RA8D1_32SD_MIPI</f>
        <v>0</v>
      </c>
      <c r="AE118" cm="1">
        <f t="array" aca="1" ref="AE118" ca="1">GetPin_RA8D1_32SD_MIPI</f>
        <v>0</v>
      </c>
      <c r="AF118" cm="1">
        <f t="array" aca="1" ref="AF118" ca="1">GetPin_RA8D1_32SD_MIPI</f>
        <v>0</v>
      </c>
      <c r="AG118" cm="1">
        <f t="array" aca="1" ref="AG118" ca="1">GetPin_RA8D1_32SD_MIPI</f>
        <v>0</v>
      </c>
      <c r="AH118" cm="1">
        <f t="array" aca="1" ref="AH118" ca="1">GetPin_RA8D1_32SD_MIPI</f>
        <v>0</v>
      </c>
      <c r="AI118" cm="1">
        <f t="array" aca="1" ref="AI118" ca="1">GetPin_RA8D1_32SD_MIPI</f>
        <v>0</v>
      </c>
      <c r="AJ118" cm="1">
        <f t="array" aca="1" ref="AJ118" ca="1">GetPin_RA8D1_32SD_MIPI</f>
        <v>0</v>
      </c>
      <c r="AK118" cm="1">
        <f t="array" aca="1" ref="AK118" ca="1">GetPin_RA8D1_32SD_MIPI</f>
        <v>0</v>
      </c>
      <c r="AL118" cm="1">
        <f t="array" aca="1" ref="AL118" ca="1">GetPin_RA8D1_32SD_MIPI</f>
        <v>0</v>
      </c>
      <c r="AM118" cm="1">
        <f t="array" aca="1" ref="AM118" ca="1">GetPin_RA8D1_32SD_MIPI</f>
        <v>0</v>
      </c>
      <c r="AN118" cm="1">
        <f t="array" aca="1" ref="AN118" ca="1">GetPin_RA8D1_32SD_MIPI</f>
        <v>0</v>
      </c>
      <c r="AO118" cm="1">
        <f t="array" aca="1" ref="AO118" ca="1">GetPin_RA8D1_32SD_MIPI</f>
        <v>0</v>
      </c>
      <c r="AP118" cm="1">
        <f t="array" aca="1" ref="AP118" ca="1">GetPin_RA8D1_32SD_MIPI</f>
        <v>0</v>
      </c>
      <c r="AQ118" cm="1">
        <f t="array" aca="1" ref="AQ118" ca="1">GetPin_RA8D1_32SD_MIPI</f>
        <v>0</v>
      </c>
      <c r="AR118" cm="1">
        <f t="array" aca="1" ref="AR118" ca="1">GetPin_RA8D1_32SD_MIPI</f>
        <v>0</v>
      </c>
      <c r="AS118" cm="1">
        <f t="array" aca="1" ref="AS118" ca="1">GetPin_RA8D1_32SD_MIPI</f>
        <v>0</v>
      </c>
      <c r="AT118" cm="1">
        <f t="array" aca="1" ref="AT118" ca="1">GetPin_RA8D1_32SD_MIPI</f>
        <v>0</v>
      </c>
      <c r="AU118" cm="1">
        <f t="array" aca="1" ref="AU118" ca="1">GetPin_RA8D1_32SD_MIPI</f>
        <v>0</v>
      </c>
      <c r="AV118" cm="1">
        <f t="array" aca="1" ref="AV118" ca="1">GetPin_RA8D1_32SD_MIPI</f>
        <v>0</v>
      </c>
      <c r="AW118" cm="1">
        <f t="array" aca="1" ref="AW118" ca="1">GetPin_RA8D1_32SD_MIPI</f>
        <v>0</v>
      </c>
      <c r="AX118" cm="1">
        <f t="array" aca="1" ref="AX118" ca="1">GetPin_RA8D1_32SD_MIPI</f>
        <v>0</v>
      </c>
      <c r="AY118" cm="1">
        <f t="array" aca="1" ref="AY118" ca="1">GetPin_RA8D1_32SD_MIPI</f>
        <v>0</v>
      </c>
      <c r="AZ118" cm="1">
        <f t="array" aca="1" ref="AZ118" ca="1">GetPin_RA8D1_32SD_MIPI</f>
        <v>0</v>
      </c>
      <c r="BA118" cm="1">
        <f t="array" aca="1" ref="BA118" ca="1">GetPin_RA8D1_32SD_MIPI</f>
        <v>0</v>
      </c>
      <c r="BB118" cm="1">
        <f t="array" aca="1" ref="BB118" ca="1">GetPin_RA8D1_32SD_MIPI</f>
        <v>0</v>
      </c>
      <c r="BC118" cm="1">
        <f t="array" aca="1" ref="BC118" ca="1">GetPin_RA8D1_32SD_MIPI</f>
        <v>0</v>
      </c>
      <c r="BD118" cm="1">
        <f t="array" aca="1" ref="BD118" ca="1">GetPin_RA8D1_32SD_MIPI</f>
        <v>0</v>
      </c>
      <c r="BG118">
        <v>145</v>
      </c>
    </row>
    <row r="119" spans="17:59" x14ac:dyDescent="0.25">
      <c r="Q119">
        <f>IF(ISBLANK(BoardBTB!Q119),-1,(COUNTIF(U119:BD119,4)*4+IF(COUNTIF(U119:BD119,2),1,0)*2+IF(COUNTIF(U119:BD119,1),1,0)))</f>
        <v>-1</v>
      </c>
      <c r="R119">
        <f>IF(ISBLANK(BoardBTB!R119),-1,(COUNTIF(U119:BD119,4)*4+IF(COUNTIF(U119:BD119,2),1,0)*2+IF(COUNTIF(U119:BD119,1),1,0)))</f>
        <v>-1</v>
      </c>
      <c r="S119">
        <f>IF(ISBLANK(BoardBTB!S119),-1,(COUNTIF(U119:BD119,4)*4+IF(COUNTIF(U119:BD119,2),1,0)*2+IF(COUNTIF(U119:BD119,1),1,0)))</f>
        <v>-1</v>
      </c>
      <c r="T119">
        <f ca="1">IF(ISBLANK(BoardBTB!T119),-1,(COUNTIF(U119:BD119,4)*4+IF(COUNTIF(U119:BD119,2),1,0)*2+IF(COUNTIF(U119:BD119,1),1,0)))</f>
        <v>0</v>
      </c>
      <c r="U119" cm="1">
        <f t="array" aca="1" ref="U119" ca="1">GetPin_RA8D1_32SD_MIPI</f>
        <v>0</v>
      </c>
      <c r="V119" cm="1">
        <f t="array" aca="1" ref="V119" ca="1">GetPin_RA8D1_32SD_MIPI</f>
        <v>0</v>
      </c>
      <c r="W119" cm="1">
        <f t="array" aca="1" ref="W119" ca="1">GetPin_RA8D1_32SD_MIPI</f>
        <v>0</v>
      </c>
      <c r="X119" cm="1">
        <f t="array" aca="1" ref="X119" ca="1">GetPin_RA8D1_32SD_MIPI</f>
        <v>0</v>
      </c>
      <c r="Y119" cm="1">
        <f t="array" aca="1" ref="Y119" ca="1">GetPin_RA8D1_32SD_MIPI</f>
        <v>0</v>
      </c>
      <c r="Z119" cm="1">
        <f t="array" aca="1" ref="Z119" ca="1">GetPin_RA8D1_32SD_MIPI</f>
        <v>0</v>
      </c>
      <c r="AA119" cm="1">
        <f t="array" aca="1" ref="AA119" ca="1">GetPin_RA8D1_32SD_MIPI</f>
        <v>0</v>
      </c>
      <c r="AB119" cm="1">
        <f t="array" aca="1" ref="AB119" ca="1">GetPin_RA8D1_32SD_MIPI</f>
        <v>0</v>
      </c>
      <c r="AC119" cm="1">
        <f t="array" aca="1" ref="AC119" ca="1">GetPin_RA8D1_32SD_MIPI</f>
        <v>0</v>
      </c>
      <c r="AD119" cm="1">
        <f t="array" aca="1" ref="AD119" ca="1">GetPin_RA8D1_32SD_MIPI</f>
        <v>0</v>
      </c>
      <c r="AE119" cm="1">
        <f t="array" aca="1" ref="AE119" ca="1">GetPin_RA8D1_32SD_MIPI</f>
        <v>0</v>
      </c>
      <c r="AF119" cm="1">
        <f t="array" aca="1" ref="AF119" ca="1">GetPin_RA8D1_32SD_MIPI</f>
        <v>0</v>
      </c>
      <c r="AG119" cm="1">
        <f t="array" aca="1" ref="AG119" ca="1">GetPin_RA8D1_32SD_MIPI</f>
        <v>0</v>
      </c>
      <c r="AH119" cm="1">
        <f t="array" aca="1" ref="AH119" ca="1">GetPin_RA8D1_32SD_MIPI</f>
        <v>0</v>
      </c>
      <c r="AI119" cm="1">
        <f t="array" aca="1" ref="AI119" ca="1">GetPin_RA8D1_32SD_MIPI</f>
        <v>0</v>
      </c>
      <c r="AJ119" cm="1">
        <f t="array" aca="1" ref="AJ119" ca="1">GetPin_RA8D1_32SD_MIPI</f>
        <v>0</v>
      </c>
      <c r="AK119" cm="1">
        <f t="array" aca="1" ref="AK119" ca="1">GetPin_RA8D1_32SD_MIPI</f>
        <v>0</v>
      </c>
      <c r="AL119" cm="1">
        <f t="array" aca="1" ref="AL119" ca="1">GetPin_RA8D1_32SD_MIPI</f>
        <v>0</v>
      </c>
      <c r="AM119" cm="1">
        <f t="array" aca="1" ref="AM119" ca="1">GetPin_RA8D1_32SD_MIPI</f>
        <v>0</v>
      </c>
      <c r="AN119" cm="1">
        <f t="array" aca="1" ref="AN119" ca="1">GetPin_RA8D1_32SD_MIPI</f>
        <v>0</v>
      </c>
      <c r="AO119" cm="1">
        <f t="array" aca="1" ref="AO119" ca="1">GetPin_RA8D1_32SD_MIPI</f>
        <v>0</v>
      </c>
      <c r="AP119" cm="1">
        <f t="array" aca="1" ref="AP119" ca="1">GetPin_RA8D1_32SD_MIPI</f>
        <v>0</v>
      </c>
      <c r="AQ119" cm="1">
        <f t="array" aca="1" ref="AQ119" ca="1">GetPin_RA8D1_32SD_MIPI</f>
        <v>0</v>
      </c>
      <c r="AR119" cm="1">
        <f t="array" aca="1" ref="AR119" ca="1">GetPin_RA8D1_32SD_MIPI</f>
        <v>0</v>
      </c>
      <c r="AS119" cm="1">
        <f t="array" aca="1" ref="AS119" ca="1">GetPin_RA8D1_32SD_MIPI</f>
        <v>0</v>
      </c>
      <c r="AT119" cm="1">
        <f t="array" aca="1" ref="AT119" ca="1">GetPin_RA8D1_32SD_MIPI</f>
        <v>0</v>
      </c>
      <c r="AU119" cm="1">
        <f t="array" aca="1" ref="AU119" ca="1">GetPin_RA8D1_32SD_MIPI</f>
        <v>0</v>
      </c>
      <c r="AV119" cm="1">
        <f t="array" aca="1" ref="AV119" ca="1">GetPin_RA8D1_32SD_MIPI</f>
        <v>0</v>
      </c>
      <c r="AW119" cm="1">
        <f t="array" aca="1" ref="AW119" ca="1">GetPin_RA8D1_32SD_MIPI</f>
        <v>0</v>
      </c>
      <c r="AX119" cm="1">
        <f t="array" aca="1" ref="AX119" ca="1">GetPin_RA8D1_32SD_MIPI</f>
        <v>0</v>
      </c>
      <c r="AY119" cm="1">
        <f t="array" aca="1" ref="AY119" ca="1">GetPin_RA8D1_32SD_MIPI</f>
        <v>0</v>
      </c>
      <c r="AZ119" cm="1">
        <f t="array" aca="1" ref="AZ119" ca="1">GetPin_RA8D1_32SD_MIPI</f>
        <v>0</v>
      </c>
      <c r="BA119" cm="1">
        <f t="array" aca="1" ref="BA119" ca="1">GetPin_RA8D1_32SD_MIPI</f>
        <v>0</v>
      </c>
      <c r="BB119" cm="1">
        <f t="array" aca="1" ref="BB119" ca="1">GetPin_RA8D1_32SD_MIPI</f>
        <v>0</v>
      </c>
      <c r="BC119" cm="1">
        <f t="array" aca="1" ref="BC119" ca="1">GetPin_RA8D1_32SD_MIPI</f>
        <v>0</v>
      </c>
      <c r="BD119" cm="1">
        <f t="array" aca="1" ref="BD119" ca="1">GetPin_RA8D1_32SD_MIPI</f>
        <v>0</v>
      </c>
      <c r="BG119">
        <v>146</v>
      </c>
    </row>
    <row r="120" spans="17:59" x14ac:dyDescent="0.25">
      <c r="Q120">
        <f>IF(ISBLANK(BoardBTB!Q120),-1,(COUNTIF(U120:BD120,4)*4+IF(COUNTIF(U120:BD120,2),1,0)*2+IF(COUNTIF(U120:BD120,1),1,0)))</f>
        <v>-1</v>
      </c>
      <c r="R120">
        <f>IF(ISBLANK(BoardBTB!R120),-1,(COUNTIF(U120:BD120,4)*4+IF(COUNTIF(U120:BD120,2),1,0)*2+IF(COUNTIF(U120:BD120,1),1,0)))</f>
        <v>-1</v>
      </c>
      <c r="S120">
        <f>IF(ISBLANK(BoardBTB!S120),-1,(COUNTIF(U120:BD120,4)*4+IF(COUNTIF(U120:BD120,2),1,0)*2+IF(COUNTIF(U120:BD120,1),1,0)))</f>
        <v>-1</v>
      </c>
      <c r="T120">
        <f ca="1">IF(ISBLANK(BoardBTB!T120),-1,(COUNTIF(U120:BD120,4)*4+IF(COUNTIF(U120:BD120,2),1,0)*2+IF(COUNTIF(U120:BD120,1),1,0)))</f>
        <v>0</v>
      </c>
      <c r="U120" cm="1">
        <f t="array" aca="1" ref="U120" ca="1">GetPin_RA8D1_32SD_MIPI</f>
        <v>0</v>
      </c>
      <c r="V120" cm="1">
        <f t="array" aca="1" ref="V120" ca="1">GetPin_RA8D1_32SD_MIPI</f>
        <v>0</v>
      </c>
      <c r="W120" cm="1">
        <f t="array" aca="1" ref="W120" ca="1">GetPin_RA8D1_32SD_MIPI</f>
        <v>0</v>
      </c>
      <c r="X120" cm="1">
        <f t="array" aca="1" ref="X120" ca="1">GetPin_RA8D1_32SD_MIPI</f>
        <v>0</v>
      </c>
      <c r="Y120" cm="1">
        <f t="array" aca="1" ref="Y120" ca="1">GetPin_RA8D1_32SD_MIPI</f>
        <v>0</v>
      </c>
      <c r="Z120" cm="1">
        <f t="array" aca="1" ref="Z120" ca="1">GetPin_RA8D1_32SD_MIPI</f>
        <v>0</v>
      </c>
      <c r="AA120" cm="1">
        <f t="array" aca="1" ref="AA120" ca="1">GetPin_RA8D1_32SD_MIPI</f>
        <v>0</v>
      </c>
      <c r="AB120" cm="1">
        <f t="array" aca="1" ref="AB120" ca="1">GetPin_RA8D1_32SD_MIPI</f>
        <v>0</v>
      </c>
      <c r="AC120" cm="1">
        <f t="array" aca="1" ref="AC120" ca="1">GetPin_RA8D1_32SD_MIPI</f>
        <v>0</v>
      </c>
      <c r="AD120" cm="1">
        <f t="array" aca="1" ref="AD120" ca="1">GetPin_RA8D1_32SD_MIPI</f>
        <v>0</v>
      </c>
      <c r="AE120" cm="1">
        <f t="array" aca="1" ref="AE120" ca="1">GetPin_RA8D1_32SD_MIPI</f>
        <v>0</v>
      </c>
      <c r="AF120" cm="1">
        <f t="array" aca="1" ref="AF120" ca="1">GetPin_RA8D1_32SD_MIPI</f>
        <v>0</v>
      </c>
      <c r="AG120" cm="1">
        <f t="array" aca="1" ref="AG120" ca="1">GetPin_RA8D1_32SD_MIPI</f>
        <v>0</v>
      </c>
      <c r="AH120" cm="1">
        <f t="array" aca="1" ref="AH120" ca="1">GetPin_RA8D1_32SD_MIPI</f>
        <v>0</v>
      </c>
      <c r="AI120" cm="1">
        <f t="array" aca="1" ref="AI120" ca="1">GetPin_RA8D1_32SD_MIPI</f>
        <v>0</v>
      </c>
      <c r="AJ120" cm="1">
        <f t="array" aca="1" ref="AJ120" ca="1">GetPin_RA8D1_32SD_MIPI</f>
        <v>0</v>
      </c>
      <c r="AK120" cm="1">
        <f t="array" aca="1" ref="AK120" ca="1">GetPin_RA8D1_32SD_MIPI</f>
        <v>0</v>
      </c>
      <c r="AL120" cm="1">
        <f t="array" aca="1" ref="AL120" ca="1">GetPin_RA8D1_32SD_MIPI</f>
        <v>0</v>
      </c>
      <c r="AM120" cm="1">
        <f t="array" aca="1" ref="AM120" ca="1">GetPin_RA8D1_32SD_MIPI</f>
        <v>0</v>
      </c>
      <c r="AN120" cm="1">
        <f t="array" aca="1" ref="AN120" ca="1">GetPin_RA8D1_32SD_MIPI</f>
        <v>0</v>
      </c>
      <c r="AO120" cm="1">
        <f t="array" aca="1" ref="AO120" ca="1">GetPin_RA8D1_32SD_MIPI</f>
        <v>0</v>
      </c>
      <c r="AP120" cm="1">
        <f t="array" aca="1" ref="AP120" ca="1">GetPin_RA8D1_32SD_MIPI</f>
        <v>0</v>
      </c>
      <c r="AQ120" cm="1">
        <f t="array" aca="1" ref="AQ120" ca="1">GetPin_RA8D1_32SD_MIPI</f>
        <v>0</v>
      </c>
      <c r="AR120" cm="1">
        <f t="array" aca="1" ref="AR120" ca="1">GetPin_RA8D1_32SD_MIPI</f>
        <v>0</v>
      </c>
      <c r="AS120" cm="1">
        <f t="array" aca="1" ref="AS120" ca="1">GetPin_RA8D1_32SD_MIPI</f>
        <v>0</v>
      </c>
      <c r="AT120" cm="1">
        <f t="array" aca="1" ref="AT120" ca="1">GetPin_RA8D1_32SD_MIPI</f>
        <v>0</v>
      </c>
      <c r="AU120" cm="1">
        <f t="array" aca="1" ref="AU120" ca="1">GetPin_RA8D1_32SD_MIPI</f>
        <v>0</v>
      </c>
      <c r="AV120" cm="1">
        <f t="array" aca="1" ref="AV120" ca="1">GetPin_RA8D1_32SD_MIPI</f>
        <v>0</v>
      </c>
      <c r="AW120" cm="1">
        <f t="array" aca="1" ref="AW120" ca="1">GetPin_RA8D1_32SD_MIPI</f>
        <v>0</v>
      </c>
      <c r="AX120" cm="1">
        <f t="array" aca="1" ref="AX120" ca="1">GetPin_RA8D1_32SD_MIPI</f>
        <v>0</v>
      </c>
      <c r="AY120" cm="1">
        <f t="array" aca="1" ref="AY120" ca="1">GetPin_RA8D1_32SD_MIPI</f>
        <v>0</v>
      </c>
      <c r="AZ120" cm="1">
        <f t="array" aca="1" ref="AZ120" ca="1">GetPin_RA8D1_32SD_MIPI</f>
        <v>0</v>
      </c>
      <c r="BA120" cm="1">
        <f t="array" aca="1" ref="BA120" ca="1">GetPin_RA8D1_32SD_MIPI</f>
        <v>0</v>
      </c>
      <c r="BB120" cm="1">
        <f t="array" aca="1" ref="BB120" ca="1">GetPin_RA8D1_32SD_MIPI</f>
        <v>0</v>
      </c>
      <c r="BC120" cm="1">
        <f t="array" aca="1" ref="BC120" ca="1">GetPin_RA8D1_32SD_MIPI</f>
        <v>0</v>
      </c>
      <c r="BD120" cm="1">
        <f t="array" aca="1" ref="BD120" ca="1">GetPin_RA8D1_32SD_MIPI</f>
        <v>0</v>
      </c>
      <c r="BG120">
        <v>147</v>
      </c>
    </row>
    <row r="121" spans="17:59" x14ac:dyDescent="0.25">
      <c r="Q121">
        <f>IF(ISBLANK(BoardBTB!Q121),-1,(COUNTIF(U121:BD121,4)*4+IF(COUNTIF(U121:BD121,2),1,0)*2+IF(COUNTIF(U121:BD121,1),1,0)))</f>
        <v>-1</v>
      </c>
      <c r="R121">
        <f>IF(ISBLANK(BoardBTB!R121),-1,(COUNTIF(U121:BD121,4)*4+IF(COUNTIF(U121:BD121,2),1,0)*2+IF(COUNTIF(U121:BD121,1),1,0)))</f>
        <v>-1</v>
      </c>
      <c r="S121">
        <f>IF(ISBLANK(BoardBTB!S121),-1,(COUNTIF(U121:BD121,4)*4+IF(COUNTIF(U121:BD121,2),1,0)*2+IF(COUNTIF(U121:BD121,1),1,0)))</f>
        <v>-1</v>
      </c>
      <c r="T121">
        <f ca="1">IF(ISBLANK(BoardBTB!T121),-1,(COUNTIF(U121:BD121,4)*4+IF(COUNTIF(U121:BD121,2),1,0)*2+IF(COUNTIF(U121:BD121,1),1,0)))</f>
        <v>0</v>
      </c>
      <c r="U121" cm="1">
        <f t="array" aca="1" ref="U121" ca="1">GetPin_RA8D1_32SD_MIPI</f>
        <v>0</v>
      </c>
      <c r="V121" cm="1">
        <f t="array" aca="1" ref="V121" ca="1">GetPin_RA8D1_32SD_MIPI</f>
        <v>0</v>
      </c>
      <c r="W121" cm="1">
        <f t="array" aca="1" ref="W121" ca="1">GetPin_RA8D1_32SD_MIPI</f>
        <v>0</v>
      </c>
      <c r="X121" cm="1">
        <f t="array" aca="1" ref="X121" ca="1">GetPin_RA8D1_32SD_MIPI</f>
        <v>0</v>
      </c>
      <c r="Y121" cm="1">
        <f t="array" aca="1" ref="Y121" ca="1">GetPin_RA8D1_32SD_MIPI</f>
        <v>0</v>
      </c>
      <c r="Z121" cm="1">
        <f t="array" aca="1" ref="Z121" ca="1">GetPin_RA8D1_32SD_MIPI</f>
        <v>0</v>
      </c>
      <c r="AA121" cm="1">
        <f t="array" aca="1" ref="AA121" ca="1">GetPin_RA8D1_32SD_MIPI</f>
        <v>0</v>
      </c>
      <c r="AB121" cm="1">
        <f t="array" aca="1" ref="AB121" ca="1">GetPin_RA8D1_32SD_MIPI</f>
        <v>0</v>
      </c>
      <c r="AC121" cm="1">
        <f t="array" aca="1" ref="AC121" ca="1">GetPin_RA8D1_32SD_MIPI</f>
        <v>0</v>
      </c>
      <c r="AD121" cm="1">
        <f t="array" aca="1" ref="AD121" ca="1">GetPin_RA8D1_32SD_MIPI</f>
        <v>0</v>
      </c>
      <c r="AE121" cm="1">
        <f t="array" aca="1" ref="AE121" ca="1">GetPin_RA8D1_32SD_MIPI</f>
        <v>0</v>
      </c>
      <c r="AF121" cm="1">
        <f t="array" aca="1" ref="AF121" ca="1">GetPin_RA8D1_32SD_MIPI</f>
        <v>0</v>
      </c>
      <c r="AG121" cm="1">
        <f t="array" aca="1" ref="AG121" ca="1">GetPin_RA8D1_32SD_MIPI</f>
        <v>0</v>
      </c>
      <c r="AH121" cm="1">
        <f t="array" aca="1" ref="AH121" ca="1">GetPin_RA8D1_32SD_MIPI</f>
        <v>0</v>
      </c>
      <c r="AI121" cm="1">
        <f t="array" aca="1" ref="AI121" ca="1">GetPin_RA8D1_32SD_MIPI</f>
        <v>0</v>
      </c>
      <c r="AJ121" cm="1">
        <f t="array" aca="1" ref="AJ121" ca="1">GetPin_RA8D1_32SD_MIPI</f>
        <v>0</v>
      </c>
      <c r="AK121" cm="1">
        <f t="array" aca="1" ref="AK121" ca="1">GetPin_RA8D1_32SD_MIPI</f>
        <v>0</v>
      </c>
      <c r="AL121" cm="1">
        <f t="array" aca="1" ref="AL121" ca="1">GetPin_RA8D1_32SD_MIPI</f>
        <v>0</v>
      </c>
      <c r="AM121" cm="1">
        <f t="array" aca="1" ref="AM121" ca="1">GetPin_RA8D1_32SD_MIPI</f>
        <v>0</v>
      </c>
      <c r="AN121" cm="1">
        <f t="array" aca="1" ref="AN121" ca="1">GetPin_RA8D1_32SD_MIPI</f>
        <v>0</v>
      </c>
      <c r="AO121" cm="1">
        <f t="array" aca="1" ref="AO121" ca="1">GetPin_RA8D1_32SD_MIPI</f>
        <v>0</v>
      </c>
      <c r="AP121" cm="1">
        <f t="array" aca="1" ref="AP121" ca="1">GetPin_RA8D1_32SD_MIPI</f>
        <v>0</v>
      </c>
      <c r="AQ121" cm="1">
        <f t="array" aca="1" ref="AQ121" ca="1">GetPin_RA8D1_32SD_MIPI</f>
        <v>0</v>
      </c>
      <c r="AR121" cm="1">
        <f t="array" aca="1" ref="AR121" ca="1">GetPin_RA8D1_32SD_MIPI</f>
        <v>0</v>
      </c>
      <c r="AS121" cm="1">
        <f t="array" aca="1" ref="AS121" ca="1">GetPin_RA8D1_32SD_MIPI</f>
        <v>0</v>
      </c>
      <c r="AT121" cm="1">
        <f t="array" aca="1" ref="AT121" ca="1">GetPin_RA8D1_32SD_MIPI</f>
        <v>0</v>
      </c>
      <c r="AU121" cm="1">
        <f t="array" aca="1" ref="AU121" ca="1">GetPin_RA8D1_32SD_MIPI</f>
        <v>0</v>
      </c>
      <c r="AV121" cm="1">
        <f t="array" aca="1" ref="AV121" ca="1">GetPin_RA8D1_32SD_MIPI</f>
        <v>0</v>
      </c>
      <c r="AW121" cm="1">
        <f t="array" aca="1" ref="AW121" ca="1">GetPin_RA8D1_32SD_MIPI</f>
        <v>0</v>
      </c>
      <c r="AX121" cm="1">
        <f t="array" aca="1" ref="AX121" ca="1">GetPin_RA8D1_32SD_MIPI</f>
        <v>0</v>
      </c>
      <c r="AY121" cm="1">
        <f t="array" aca="1" ref="AY121" ca="1">GetPin_RA8D1_32SD_MIPI</f>
        <v>0</v>
      </c>
      <c r="AZ121" cm="1">
        <f t="array" aca="1" ref="AZ121" ca="1">GetPin_RA8D1_32SD_MIPI</f>
        <v>0</v>
      </c>
      <c r="BA121" cm="1">
        <f t="array" aca="1" ref="BA121" ca="1">GetPin_RA8D1_32SD_MIPI</f>
        <v>0</v>
      </c>
      <c r="BB121" cm="1">
        <f t="array" aca="1" ref="BB121" ca="1">GetPin_RA8D1_32SD_MIPI</f>
        <v>0</v>
      </c>
      <c r="BC121" cm="1">
        <f t="array" aca="1" ref="BC121" ca="1">GetPin_RA8D1_32SD_MIPI</f>
        <v>0</v>
      </c>
      <c r="BD121" cm="1">
        <f t="array" aca="1" ref="BD121" ca="1">GetPin_RA8D1_32SD_MIPI</f>
        <v>0</v>
      </c>
      <c r="BG121">
        <v>148</v>
      </c>
    </row>
    <row r="122" spans="17:59" x14ac:dyDescent="0.25">
      <c r="Q122">
        <f>IF(ISBLANK(BoardBTB!Q122),-1,(COUNTIF(U122:BD122,4)*4+IF(COUNTIF(U122:BD122,2),1,0)*2+IF(COUNTIF(U122:BD122,1),1,0)))</f>
        <v>-1</v>
      </c>
      <c r="R122">
        <f>IF(ISBLANK(BoardBTB!R122),-1,(COUNTIF(U122:BD122,4)*4+IF(COUNTIF(U122:BD122,2),1,0)*2+IF(COUNTIF(U122:BD122,1),1,0)))</f>
        <v>-1</v>
      </c>
      <c r="S122">
        <f>IF(ISBLANK(BoardBTB!S122),-1,(COUNTIF(U122:BD122,4)*4+IF(COUNTIF(U122:BD122,2),1,0)*2+IF(COUNTIF(U122:BD122,1),1,0)))</f>
        <v>-1</v>
      </c>
      <c r="T122">
        <f ca="1">IF(ISBLANK(BoardBTB!T122),-1,(COUNTIF(U122:BD122,4)*4+IF(COUNTIF(U122:BD122,2),1,0)*2+IF(COUNTIF(U122:BD122,1),1,0)))</f>
        <v>0</v>
      </c>
      <c r="U122" cm="1">
        <f t="array" aca="1" ref="U122" ca="1">GetPin_RA8D1_32SD_MIPI</f>
        <v>0</v>
      </c>
      <c r="V122" cm="1">
        <f t="array" aca="1" ref="V122" ca="1">GetPin_RA8D1_32SD_MIPI</f>
        <v>0</v>
      </c>
      <c r="W122" cm="1">
        <f t="array" aca="1" ref="W122" ca="1">GetPin_RA8D1_32SD_MIPI</f>
        <v>0</v>
      </c>
      <c r="X122" cm="1">
        <f t="array" aca="1" ref="X122" ca="1">GetPin_RA8D1_32SD_MIPI</f>
        <v>0</v>
      </c>
      <c r="Y122" cm="1">
        <f t="array" aca="1" ref="Y122" ca="1">GetPin_RA8D1_32SD_MIPI</f>
        <v>0</v>
      </c>
      <c r="Z122" cm="1">
        <f t="array" aca="1" ref="Z122" ca="1">GetPin_RA8D1_32SD_MIPI</f>
        <v>0</v>
      </c>
      <c r="AA122" cm="1">
        <f t="array" aca="1" ref="AA122" ca="1">GetPin_RA8D1_32SD_MIPI</f>
        <v>0</v>
      </c>
      <c r="AB122" cm="1">
        <f t="array" aca="1" ref="AB122" ca="1">GetPin_RA8D1_32SD_MIPI</f>
        <v>0</v>
      </c>
      <c r="AC122" cm="1">
        <f t="array" aca="1" ref="AC122" ca="1">GetPin_RA8D1_32SD_MIPI</f>
        <v>0</v>
      </c>
      <c r="AD122" cm="1">
        <f t="array" aca="1" ref="AD122" ca="1">GetPin_RA8D1_32SD_MIPI</f>
        <v>0</v>
      </c>
      <c r="AE122" cm="1">
        <f t="array" aca="1" ref="AE122" ca="1">GetPin_RA8D1_32SD_MIPI</f>
        <v>0</v>
      </c>
      <c r="AF122" cm="1">
        <f t="array" aca="1" ref="AF122" ca="1">GetPin_RA8D1_32SD_MIPI</f>
        <v>0</v>
      </c>
      <c r="AG122" cm="1">
        <f t="array" aca="1" ref="AG122" ca="1">GetPin_RA8D1_32SD_MIPI</f>
        <v>0</v>
      </c>
      <c r="AH122" cm="1">
        <f t="array" aca="1" ref="AH122" ca="1">GetPin_RA8D1_32SD_MIPI</f>
        <v>0</v>
      </c>
      <c r="AI122" cm="1">
        <f t="array" aca="1" ref="AI122" ca="1">GetPin_RA8D1_32SD_MIPI</f>
        <v>0</v>
      </c>
      <c r="AJ122" cm="1">
        <f t="array" aca="1" ref="AJ122" ca="1">GetPin_RA8D1_32SD_MIPI</f>
        <v>0</v>
      </c>
      <c r="AK122" cm="1">
        <f t="array" aca="1" ref="AK122" ca="1">GetPin_RA8D1_32SD_MIPI</f>
        <v>0</v>
      </c>
      <c r="AL122" cm="1">
        <f t="array" aca="1" ref="AL122" ca="1">GetPin_RA8D1_32SD_MIPI</f>
        <v>0</v>
      </c>
      <c r="AM122" cm="1">
        <f t="array" aca="1" ref="AM122" ca="1">GetPin_RA8D1_32SD_MIPI</f>
        <v>0</v>
      </c>
      <c r="AN122" cm="1">
        <f t="array" aca="1" ref="AN122" ca="1">GetPin_RA8D1_32SD_MIPI</f>
        <v>0</v>
      </c>
      <c r="AO122" cm="1">
        <f t="array" aca="1" ref="AO122" ca="1">GetPin_RA8D1_32SD_MIPI</f>
        <v>0</v>
      </c>
      <c r="AP122" cm="1">
        <f t="array" aca="1" ref="AP122" ca="1">GetPin_RA8D1_32SD_MIPI</f>
        <v>0</v>
      </c>
      <c r="AQ122" cm="1">
        <f t="array" aca="1" ref="AQ122" ca="1">GetPin_RA8D1_32SD_MIPI</f>
        <v>0</v>
      </c>
      <c r="AR122" cm="1">
        <f t="array" aca="1" ref="AR122" ca="1">GetPin_RA8D1_32SD_MIPI</f>
        <v>0</v>
      </c>
      <c r="AS122" cm="1">
        <f t="array" aca="1" ref="AS122" ca="1">GetPin_RA8D1_32SD_MIPI</f>
        <v>0</v>
      </c>
      <c r="AT122" cm="1">
        <f t="array" aca="1" ref="AT122" ca="1">GetPin_RA8D1_32SD_MIPI</f>
        <v>0</v>
      </c>
      <c r="AU122" cm="1">
        <f t="array" aca="1" ref="AU122" ca="1">GetPin_RA8D1_32SD_MIPI</f>
        <v>0</v>
      </c>
      <c r="AV122" cm="1">
        <f t="array" aca="1" ref="AV122" ca="1">GetPin_RA8D1_32SD_MIPI</f>
        <v>0</v>
      </c>
      <c r="AW122" cm="1">
        <f t="array" aca="1" ref="AW122" ca="1">GetPin_RA8D1_32SD_MIPI</f>
        <v>0</v>
      </c>
      <c r="AX122" cm="1">
        <f t="array" aca="1" ref="AX122" ca="1">GetPin_RA8D1_32SD_MIPI</f>
        <v>0</v>
      </c>
      <c r="AY122" cm="1">
        <f t="array" aca="1" ref="AY122" ca="1">GetPin_RA8D1_32SD_MIPI</f>
        <v>0</v>
      </c>
      <c r="AZ122" cm="1">
        <f t="array" aca="1" ref="AZ122" ca="1">GetPin_RA8D1_32SD_MIPI</f>
        <v>0</v>
      </c>
      <c r="BA122" cm="1">
        <f t="array" aca="1" ref="BA122" ca="1">GetPin_RA8D1_32SD_MIPI</f>
        <v>0</v>
      </c>
      <c r="BB122" cm="1">
        <f t="array" aca="1" ref="BB122" ca="1">GetPin_RA8D1_32SD_MIPI</f>
        <v>0</v>
      </c>
      <c r="BC122" cm="1">
        <f t="array" aca="1" ref="BC122" ca="1">GetPin_RA8D1_32SD_MIPI</f>
        <v>0</v>
      </c>
      <c r="BD122" cm="1">
        <f t="array" aca="1" ref="BD122" ca="1">GetPin_RA8D1_32SD_MIPI</f>
        <v>0</v>
      </c>
      <c r="BG122">
        <v>149</v>
      </c>
    </row>
    <row r="123" spans="17:59" x14ac:dyDescent="0.25">
      <c r="Q123">
        <f>IF(ISBLANK(BoardBTB!Q123),-1,(COUNTIF(U123:BD123,4)*4+IF(COUNTIF(U123:BD123,2),1,0)*2+IF(COUNTIF(U123:BD123,1),1,0)))</f>
        <v>-1</v>
      </c>
      <c r="R123">
        <f>IF(ISBLANK(BoardBTB!R123),-1,(COUNTIF(U123:BD123,4)*4+IF(COUNTIF(U123:BD123,2),1,0)*2+IF(COUNTIF(U123:BD123,1),1,0)))</f>
        <v>-1</v>
      </c>
      <c r="S123">
        <f>IF(ISBLANK(BoardBTB!S123),-1,(COUNTIF(U123:BD123,4)*4+IF(COUNTIF(U123:BD123,2),1,0)*2+IF(COUNTIF(U123:BD123,1),1,0)))</f>
        <v>-1</v>
      </c>
      <c r="T123">
        <f ca="1">IF(ISBLANK(BoardBTB!T123),-1,(COUNTIF(U123:BD123,4)*4+IF(COUNTIF(U123:BD123,2),1,0)*2+IF(COUNTIF(U123:BD123,1),1,0)))</f>
        <v>0</v>
      </c>
      <c r="U123" cm="1">
        <f t="array" aca="1" ref="U123" ca="1">GetPin_RA8D1_32SD_MIPI</f>
        <v>0</v>
      </c>
      <c r="V123" cm="1">
        <f t="array" aca="1" ref="V123" ca="1">GetPin_RA8D1_32SD_MIPI</f>
        <v>0</v>
      </c>
      <c r="W123" cm="1">
        <f t="array" aca="1" ref="W123" ca="1">GetPin_RA8D1_32SD_MIPI</f>
        <v>0</v>
      </c>
      <c r="X123" cm="1">
        <f t="array" aca="1" ref="X123" ca="1">GetPin_RA8D1_32SD_MIPI</f>
        <v>0</v>
      </c>
      <c r="Y123" cm="1">
        <f t="array" aca="1" ref="Y123" ca="1">GetPin_RA8D1_32SD_MIPI</f>
        <v>0</v>
      </c>
      <c r="Z123" cm="1">
        <f t="array" aca="1" ref="Z123" ca="1">GetPin_RA8D1_32SD_MIPI</f>
        <v>0</v>
      </c>
      <c r="AA123" cm="1">
        <f t="array" aca="1" ref="AA123" ca="1">GetPin_RA8D1_32SD_MIPI</f>
        <v>0</v>
      </c>
      <c r="AB123" cm="1">
        <f t="array" aca="1" ref="AB123" ca="1">GetPin_RA8D1_32SD_MIPI</f>
        <v>0</v>
      </c>
      <c r="AC123" cm="1">
        <f t="array" aca="1" ref="AC123" ca="1">GetPin_RA8D1_32SD_MIPI</f>
        <v>0</v>
      </c>
      <c r="AD123" cm="1">
        <f t="array" aca="1" ref="AD123" ca="1">GetPin_RA8D1_32SD_MIPI</f>
        <v>0</v>
      </c>
      <c r="AE123" cm="1">
        <f t="array" aca="1" ref="AE123" ca="1">GetPin_RA8D1_32SD_MIPI</f>
        <v>0</v>
      </c>
      <c r="AF123" cm="1">
        <f t="array" aca="1" ref="AF123" ca="1">GetPin_RA8D1_32SD_MIPI</f>
        <v>0</v>
      </c>
      <c r="AG123" cm="1">
        <f t="array" aca="1" ref="AG123" ca="1">GetPin_RA8D1_32SD_MIPI</f>
        <v>0</v>
      </c>
      <c r="AH123" cm="1">
        <f t="array" aca="1" ref="AH123" ca="1">GetPin_RA8D1_32SD_MIPI</f>
        <v>0</v>
      </c>
      <c r="AI123" cm="1">
        <f t="array" aca="1" ref="AI123" ca="1">GetPin_RA8D1_32SD_MIPI</f>
        <v>0</v>
      </c>
      <c r="AJ123" cm="1">
        <f t="array" aca="1" ref="AJ123" ca="1">GetPin_RA8D1_32SD_MIPI</f>
        <v>0</v>
      </c>
      <c r="AK123" cm="1">
        <f t="array" aca="1" ref="AK123" ca="1">GetPin_RA8D1_32SD_MIPI</f>
        <v>0</v>
      </c>
      <c r="AL123" cm="1">
        <f t="array" aca="1" ref="AL123" ca="1">GetPin_RA8D1_32SD_MIPI</f>
        <v>0</v>
      </c>
      <c r="AM123" cm="1">
        <f t="array" aca="1" ref="AM123" ca="1">GetPin_RA8D1_32SD_MIPI</f>
        <v>0</v>
      </c>
      <c r="AN123" cm="1">
        <f t="array" aca="1" ref="AN123" ca="1">GetPin_RA8D1_32SD_MIPI</f>
        <v>0</v>
      </c>
      <c r="AO123" cm="1">
        <f t="array" aca="1" ref="AO123" ca="1">GetPin_RA8D1_32SD_MIPI</f>
        <v>0</v>
      </c>
      <c r="AP123" cm="1">
        <f t="array" aca="1" ref="AP123" ca="1">GetPin_RA8D1_32SD_MIPI</f>
        <v>0</v>
      </c>
      <c r="AQ123" cm="1">
        <f t="array" aca="1" ref="AQ123" ca="1">GetPin_RA8D1_32SD_MIPI</f>
        <v>0</v>
      </c>
      <c r="AR123" cm="1">
        <f t="array" aca="1" ref="AR123" ca="1">GetPin_RA8D1_32SD_MIPI</f>
        <v>0</v>
      </c>
      <c r="AS123" cm="1">
        <f t="array" aca="1" ref="AS123" ca="1">GetPin_RA8D1_32SD_MIPI</f>
        <v>0</v>
      </c>
      <c r="AT123" cm="1">
        <f t="array" aca="1" ref="AT123" ca="1">GetPin_RA8D1_32SD_MIPI</f>
        <v>0</v>
      </c>
      <c r="AU123" cm="1">
        <f t="array" aca="1" ref="AU123" ca="1">GetPin_RA8D1_32SD_MIPI</f>
        <v>0</v>
      </c>
      <c r="AV123" cm="1">
        <f t="array" aca="1" ref="AV123" ca="1">GetPin_RA8D1_32SD_MIPI</f>
        <v>0</v>
      </c>
      <c r="AW123" cm="1">
        <f t="array" aca="1" ref="AW123" ca="1">GetPin_RA8D1_32SD_MIPI</f>
        <v>0</v>
      </c>
      <c r="AX123" cm="1">
        <f t="array" aca="1" ref="AX123" ca="1">GetPin_RA8D1_32SD_MIPI</f>
        <v>0</v>
      </c>
      <c r="AY123" cm="1">
        <f t="array" aca="1" ref="AY123" ca="1">GetPin_RA8D1_32SD_MIPI</f>
        <v>0</v>
      </c>
      <c r="AZ123" cm="1">
        <f t="array" aca="1" ref="AZ123" ca="1">GetPin_RA8D1_32SD_MIPI</f>
        <v>0</v>
      </c>
      <c r="BA123" cm="1">
        <f t="array" aca="1" ref="BA123" ca="1">GetPin_RA8D1_32SD_MIPI</f>
        <v>0</v>
      </c>
      <c r="BB123" cm="1">
        <f t="array" aca="1" ref="BB123" ca="1">GetPin_RA8D1_32SD_MIPI</f>
        <v>0</v>
      </c>
      <c r="BC123" cm="1">
        <f t="array" aca="1" ref="BC123" ca="1">GetPin_RA8D1_32SD_MIPI</f>
        <v>0</v>
      </c>
      <c r="BD123" cm="1">
        <f t="array" aca="1" ref="BD123" ca="1">GetPin_RA8D1_32SD_MIPI</f>
        <v>0</v>
      </c>
      <c r="BG123">
        <v>150</v>
      </c>
    </row>
    <row r="124" spans="17:59" x14ac:dyDescent="0.25">
      <c r="Q124">
        <f>IF(ISBLANK(BoardBTB!Q124),-1,(COUNTIF(U124:BD124,4)*4+IF(COUNTIF(U124:BD124,2),1,0)*2+IF(COUNTIF(U124:BD124,1),1,0)))</f>
        <v>-1</v>
      </c>
      <c r="R124">
        <f>IF(ISBLANK(BoardBTB!R124),-1,(COUNTIF(U124:BD124,4)*4+IF(COUNTIF(U124:BD124,2),1,0)*2+IF(COUNTIF(U124:BD124,1),1,0)))</f>
        <v>-1</v>
      </c>
      <c r="S124">
        <f>IF(ISBLANK(BoardBTB!S124),-1,(COUNTIF(U124:BD124,4)*4+IF(COUNTIF(U124:BD124,2),1,0)*2+IF(COUNTIF(U124:BD124,1),1,0)))</f>
        <v>-1</v>
      </c>
      <c r="T124">
        <f ca="1">IF(ISBLANK(BoardBTB!T124),-1,(COUNTIF(U124:BD124,4)*4+IF(COUNTIF(U124:BD124,2),1,0)*2+IF(COUNTIF(U124:BD124,1),1,0)))</f>
        <v>0</v>
      </c>
      <c r="U124" cm="1">
        <f t="array" aca="1" ref="U124" ca="1">GetPin_RA8D1_32SD_MIPI</f>
        <v>0</v>
      </c>
      <c r="V124" cm="1">
        <f t="array" aca="1" ref="V124" ca="1">GetPin_RA8D1_32SD_MIPI</f>
        <v>0</v>
      </c>
      <c r="W124" cm="1">
        <f t="array" aca="1" ref="W124" ca="1">GetPin_RA8D1_32SD_MIPI</f>
        <v>0</v>
      </c>
      <c r="X124" cm="1">
        <f t="array" aca="1" ref="X124" ca="1">GetPin_RA8D1_32SD_MIPI</f>
        <v>0</v>
      </c>
      <c r="Y124" cm="1">
        <f t="array" aca="1" ref="Y124" ca="1">GetPin_RA8D1_32SD_MIPI</f>
        <v>0</v>
      </c>
      <c r="Z124" cm="1">
        <f t="array" aca="1" ref="Z124" ca="1">GetPin_RA8D1_32SD_MIPI</f>
        <v>0</v>
      </c>
      <c r="AA124" cm="1">
        <f t="array" aca="1" ref="AA124" ca="1">GetPin_RA8D1_32SD_MIPI</f>
        <v>0</v>
      </c>
      <c r="AB124" cm="1">
        <f t="array" aca="1" ref="AB124" ca="1">GetPin_RA8D1_32SD_MIPI</f>
        <v>0</v>
      </c>
      <c r="AC124" cm="1">
        <f t="array" aca="1" ref="AC124" ca="1">GetPin_RA8D1_32SD_MIPI</f>
        <v>0</v>
      </c>
      <c r="AD124" cm="1">
        <f t="array" aca="1" ref="AD124" ca="1">GetPin_RA8D1_32SD_MIPI</f>
        <v>0</v>
      </c>
      <c r="AE124" cm="1">
        <f t="array" aca="1" ref="AE124" ca="1">GetPin_RA8D1_32SD_MIPI</f>
        <v>0</v>
      </c>
      <c r="AF124" cm="1">
        <f t="array" aca="1" ref="AF124" ca="1">GetPin_RA8D1_32SD_MIPI</f>
        <v>0</v>
      </c>
      <c r="AG124" cm="1">
        <f t="array" aca="1" ref="AG124" ca="1">GetPin_RA8D1_32SD_MIPI</f>
        <v>0</v>
      </c>
      <c r="AH124" cm="1">
        <f t="array" aca="1" ref="AH124" ca="1">GetPin_RA8D1_32SD_MIPI</f>
        <v>0</v>
      </c>
      <c r="AI124" cm="1">
        <f t="array" aca="1" ref="AI124" ca="1">GetPin_RA8D1_32SD_MIPI</f>
        <v>0</v>
      </c>
      <c r="AJ124" cm="1">
        <f t="array" aca="1" ref="AJ124" ca="1">GetPin_RA8D1_32SD_MIPI</f>
        <v>0</v>
      </c>
      <c r="AK124" cm="1">
        <f t="array" aca="1" ref="AK124" ca="1">GetPin_RA8D1_32SD_MIPI</f>
        <v>0</v>
      </c>
      <c r="AL124" cm="1">
        <f t="array" aca="1" ref="AL124" ca="1">GetPin_RA8D1_32SD_MIPI</f>
        <v>0</v>
      </c>
      <c r="AM124" cm="1">
        <f t="array" aca="1" ref="AM124" ca="1">GetPin_RA8D1_32SD_MIPI</f>
        <v>0</v>
      </c>
      <c r="AN124" cm="1">
        <f t="array" aca="1" ref="AN124" ca="1">GetPin_RA8D1_32SD_MIPI</f>
        <v>0</v>
      </c>
      <c r="AO124" cm="1">
        <f t="array" aca="1" ref="AO124" ca="1">GetPin_RA8D1_32SD_MIPI</f>
        <v>0</v>
      </c>
      <c r="AP124" cm="1">
        <f t="array" aca="1" ref="AP124" ca="1">GetPin_RA8D1_32SD_MIPI</f>
        <v>0</v>
      </c>
      <c r="AQ124" cm="1">
        <f t="array" aca="1" ref="AQ124" ca="1">GetPin_RA8D1_32SD_MIPI</f>
        <v>0</v>
      </c>
      <c r="AR124" cm="1">
        <f t="array" aca="1" ref="AR124" ca="1">GetPin_RA8D1_32SD_MIPI</f>
        <v>0</v>
      </c>
      <c r="AS124" cm="1">
        <f t="array" aca="1" ref="AS124" ca="1">GetPin_RA8D1_32SD_MIPI</f>
        <v>0</v>
      </c>
      <c r="AT124" cm="1">
        <f t="array" aca="1" ref="AT124" ca="1">GetPin_RA8D1_32SD_MIPI</f>
        <v>0</v>
      </c>
      <c r="AU124" cm="1">
        <f t="array" aca="1" ref="AU124" ca="1">GetPin_RA8D1_32SD_MIPI</f>
        <v>0</v>
      </c>
      <c r="AV124" cm="1">
        <f t="array" aca="1" ref="AV124" ca="1">GetPin_RA8D1_32SD_MIPI</f>
        <v>0</v>
      </c>
      <c r="AW124" cm="1">
        <f t="array" aca="1" ref="AW124" ca="1">GetPin_RA8D1_32SD_MIPI</f>
        <v>0</v>
      </c>
      <c r="AX124" cm="1">
        <f t="array" aca="1" ref="AX124" ca="1">GetPin_RA8D1_32SD_MIPI</f>
        <v>0</v>
      </c>
      <c r="AY124" cm="1">
        <f t="array" aca="1" ref="AY124" ca="1">GetPin_RA8D1_32SD_MIPI</f>
        <v>0</v>
      </c>
      <c r="AZ124" cm="1">
        <f t="array" aca="1" ref="AZ124" ca="1">GetPin_RA8D1_32SD_MIPI</f>
        <v>0</v>
      </c>
      <c r="BA124" cm="1">
        <f t="array" aca="1" ref="BA124" ca="1">GetPin_RA8D1_32SD_MIPI</f>
        <v>0</v>
      </c>
      <c r="BB124" cm="1">
        <f t="array" aca="1" ref="BB124" ca="1">GetPin_RA8D1_32SD_MIPI</f>
        <v>0</v>
      </c>
      <c r="BC124" cm="1">
        <f t="array" aca="1" ref="BC124" ca="1">GetPin_RA8D1_32SD_MIPI</f>
        <v>0</v>
      </c>
      <c r="BD124" cm="1">
        <f t="array" aca="1" ref="BD124" ca="1">GetPin_RA8D1_32SD_MIPI</f>
        <v>0</v>
      </c>
      <c r="BG124">
        <v>151</v>
      </c>
    </row>
    <row r="125" spans="17:59" x14ac:dyDescent="0.25">
      <c r="Q125">
        <f>IF(ISBLANK(BoardBTB!Q125),-1,(COUNTIF(U125:BD125,4)*4+IF(COUNTIF(U125:BD125,2),1,0)*2+IF(COUNTIF(U125:BD125,1),1,0)))</f>
        <v>-1</v>
      </c>
      <c r="R125">
        <f>IF(ISBLANK(BoardBTB!R125),-1,(COUNTIF(U125:BD125,4)*4+IF(COUNTIF(U125:BD125,2),1,0)*2+IF(COUNTIF(U125:BD125,1),1,0)))</f>
        <v>-1</v>
      </c>
      <c r="S125">
        <f>IF(ISBLANK(BoardBTB!S125),-1,(COUNTIF(U125:BD125,4)*4+IF(COUNTIF(U125:BD125,2),1,0)*2+IF(COUNTIF(U125:BD125,1),1,0)))</f>
        <v>-1</v>
      </c>
      <c r="T125">
        <f ca="1">IF(ISBLANK(BoardBTB!T125),-1,(COUNTIF(U125:BD125,4)*4+IF(COUNTIF(U125:BD125,2),1,0)*2+IF(COUNTIF(U125:BD125,1),1,0)))</f>
        <v>0</v>
      </c>
      <c r="U125" cm="1">
        <f t="array" aca="1" ref="U125" ca="1">GetPin_RA8D1_32SD_MIPI</f>
        <v>0</v>
      </c>
      <c r="V125" cm="1">
        <f t="array" aca="1" ref="V125" ca="1">GetPin_RA8D1_32SD_MIPI</f>
        <v>0</v>
      </c>
      <c r="W125" cm="1">
        <f t="array" aca="1" ref="W125" ca="1">GetPin_RA8D1_32SD_MIPI</f>
        <v>0</v>
      </c>
      <c r="X125" cm="1">
        <f t="array" aca="1" ref="X125" ca="1">GetPin_RA8D1_32SD_MIPI</f>
        <v>0</v>
      </c>
      <c r="Y125" cm="1">
        <f t="array" aca="1" ref="Y125" ca="1">GetPin_RA8D1_32SD_MIPI</f>
        <v>0</v>
      </c>
      <c r="Z125" cm="1">
        <f t="array" aca="1" ref="Z125" ca="1">GetPin_RA8D1_32SD_MIPI</f>
        <v>0</v>
      </c>
      <c r="AA125" cm="1">
        <f t="array" aca="1" ref="AA125" ca="1">GetPin_RA8D1_32SD_MIPI</f>
        <v>0</v>
      </c>
      <c r="AB125" cm="1">
        <f t="array" aca="1" ref="AB125" ca="1">GetPin_RA8D1_32SD_MIPI</f>
        <v>0</v>
      </c>
      <c r="AC125" cm="1">
        <f t="array" aca="1" ref="AC125" ca="1">GetPin_RA8D1_32SD_MIPI</f>
        <v>0</v>
      </c>
      <c r="AD125" cm="1">
        <f t="array" aca="1" ref="AD125" ca="1">GetPin_RA8D1_32SD_MIPI</f>
        <v>0</v>
      </c>
      <c r="AE125" cm="1">
        <f t="array" aca="1" ref="AE125" ca="1">GetPin_RA8D1_32SD_MIPI</f>
        <v>0</v>
      </c>
      <c r="AF125" cm="1">
        <f t="array" aca="1" ref="AF125" ca="1">GetPin_RA8D1_32SD_MIPI</f>
        <v>0</v>
      </c>
      <c r="AG125" cm="1">
        <f t="array" aca="1" ref="AG125" ca="1">GetPin_RA8D1_32SD_MIPI</f>
        <v>0</v>
      </c>
      <c r="AH125" cm="1">
        <f t="array" aca="1" ref="AH125" ca="1">GetPin_RA8D1_32SD_MIPI</f>
        <v>0</v>
      </c>
      <c r="AI125" cm="1">
        <f t="array" aca="1" ref="AI125" ca="1">GetPin_RA8D1_32SD_MIPI</f>
        <v>0</v>
      </c>
      <c r="AJ125" cm="1">
        <f t="array" aca="1" ref="AJ125" ca="1">GetPin_RA8D1_32SD_MIPI</f>
        <v>0</v>
      </c>
      <c r="AK125" cm="1">
        <f t="array" aca="1" ref="AK125" ca="1">GetPin_RA8D1_32SD_MIPI</f>
        <v>0</v>
      </c>
      <c r="AL125" cm="1">
        <f t="array" aca="1" ref="AL125" ca="1">GetPin_RA8D1_32SD_MIPI</f>
        <v>0</v>
      </c>
      <c r="AM125" cm="1">
        <f t="array" aca="1" ref="AM125" ca="1">GetPin_RA8D1_32SD_MIPI</f>
        <v>0</v>
      </c>
      <c r="AN125" cm="1">
        <f t="array" aca="1" ref="AN125" ca="1">GetPin_RA8D1_32SD_MIPI</f>
        <v>0</v>
      </c>
      <c r="AO125" cm="1">
        <f t="array" aca="1" ref="AO125" ca="1">GetPin_RA8D1_32SD_MIPI</f>
        <v>0</v>
      </c>
      <c r="AP125" cm="1">
        <f t="array" aca="1" ref="AP125" ca="1">GetPin_RA8D1_32SD_MIPI</f>
        <v>0</v>
      </c>
      <c r="AQ125" cm="1">
        <f t="array" aca="1" ref="AQ125" ca="1">GetPin_RA8D1_32SD_MIPI</f>
        <v>0</v>
      </c>
      <c r="AR125" cm="1">
        <f t="array" aca="1" ref="AR125" ca="1">GetPin_RA8D1_32SD_MIPI</f>
        <v>0</v>
      </c>
      <c r="AS125" cm="1">
        <f t="array" aca="1" ref="AS125" ca="1">GetPin_RA8D1_32SD_MIPI</f>
        <v>0</v>
      </c>
      <c r="AT125" cm="1">
        <f t="array" aca="1" ref="AT125" ca="1">GetPin_RA8D1_32SD_MIPI</f>
        <v>0</v>
      </c>
      <c r="AU125" cm="1">
        <f t="array" aca="1" ref="AU125" ca="1">GetPin_RA8D1_32SD_MIPI</f>
        <v>0</v>
      </c>
      <c r="AV125" cm="1">
        <f t="array" aca="1" ref="AV125" ca="1">GetPin_RA8D1_32SD_MIPI</f>
        <v>0</v>
      </c>
      <c r="AW125" cm="1">
        <f t="array" aca="1" ref="AW125" ca="1">GetPin_RA8D1_32SD_MIPI</f>
        <v>0</v>
      </c>
      <c r="AX125" cm="1">
        <f t="array" aca="1" ref="AX125" ca="1">GetPin_RA8D1_32SD_MIPI</f>
        <v>0</v>
      </c>
      <c r="AY125" cm="1">
        <f t="array" aca="1" ref="AY125" ca="1">GetPin_RA8D1_32SD_MIPI</f>
        <v>0</v>
      </c>
      <c r="AZ125" cm="1">
        <f t="array" aca="1" ref="AZ125" ca="1">GetPin_RA8D1_32SD_MIPI</f>
        <v>0</v>
      </c>
      <c r="BA125" cm="1">
        <f t="array" aca="1" ref="BA125" ca="1">GetPin_RA8D1_32SD_MIPI</f>
        <v>0</v>
      </c>
      <c r="BB125" cm="1">
        <f t="array" aca="1" ref="BB125" ca="1">GetPin_RA8D1_32SD_MIPI</f>
        <v>0</v>
      </c>
      <c r="BC125" cm="1">
        <f t="array" aca="1" ref="BC125" ca="1">GetPin_RA8D1_32SD_MIPI</f>
        <v>0</v>
      </c>
      <c r="BD125" cm="1">
        <f t="array" aca="1" ref="BD125" ca="1">GetPin_RA8D1_32SD_MIPI</f>
        <v>0</v>
      </c>
      <c r="BG125">
        <v>152</v>
      </c>
    </row>
    <row r="126" spans="17:59" x14ac:dyDescent="0.25">
      <c r="Q126">
        <f>IF(ISBLANK(BoardBTB!Q126),-1,(COUNTIF(U126:BD126,4)*4+IF(COUNTIF(U126:BD126,2),1,0)*2+IF(COUNTIF(U126:BD126,1),1,0)))</f>
        <v>-1</v>
      </c>
      <c r="R126">
        <f>IF(ISBLANK(BoardBTB!R126),-1,(COUNTIF(U126:BD126,4)*4+IF(COUNTIF(U126:BD126,2),1,0)*2+IF(COUNTIF(U126:BD126,1),1,0)))</f>
        <v>-1</v>
      </c>
      <c r="S126">
        <f>IF(ISBLANK(BoardBTB!S126),-1,(COUNTIF(U126:BD126,4)*4+IF(COUNTIF(U126:BD126,2),1,0)*2+IF(COUNTIF(U126:BD126,1),1,0)))</f>
        <v>-1</v>
      </c>
      <c r="T126">
        <f ca="1">IF(ISBLANK(BoardBTB!T126),-1,(COUNTIF(U126:BD126,4)*4+IF(COUNTIF(U126:BD126,2),1,0)*2+IF(COUNTIF(U126:BD126,1),1,0)))</f>
        <v>0</v>
      </c>
      <c r="U126" cm="1">
        <f t="array" aca="1" ref="U126" ca="1">GetPin_RA8D1_32SD_MIPI</f>
        <v>0</v>
      </c>
      <c r="V126" cm="1">
        <f t="array" aca="1" ref="V126" ca="1">GetPin_RA8D1_32SD_MIPI</f>
        <v>0</v>
      </c>
      <c r="W126" cm="1">
        <f t="array" aca="1" ref="W126" ca="1">GetPin_RA8D1_32SD_MIPI</f>
        <v>0</v>
      </c>
      <c r="X126" cm="1">
        <f t="array" aca="1" ref="X126" ca="1">GetPin_RA8D1_32SD_MIPI</f>
        <v>0</v>
      </c>
      <c r="Y126" cm="1">
        <f t="array" aca="1" ref="Y126" ca="1">GetPin_RA8D1_32SD_MIPI</f>
        <v>0</v>
      </c>
      <c r="Z126" cm="1">
        <f t="array" aca="1" ref="Z126" ca="1">GetPin_RA8D1_32SD_MIPI</f>
        <v>0</v>
      </c>
      <c r="AA126" cm="1">
        <f t="array" aca="1" ref="AA126" ca="1">GetPin_RA8D1_32SD_MIPI</f>
        <v>0</v>
      </c>
      <c r="AB126" cm="1">
        <f t="array" aca="1" ref="AB126" ca="1">GetPin_RA8D1_32SD_MIPI</f>
        <v>0</v>
      </c>
      <c r="AC126" cm="1">
        <f t="array" aca="1" ref="AC126" ca="1">GetPin_RA8D1_32SD_MIPI</f>
        <v>0</v>
      </c>
      <c r="AD126" cm="1">
        <f t="array" aca="1" ref="AD126" ca="1">GetPin_RA8D1_32SD_MIPI</f>
        <v>0</v>
      </c>
      <c r="AE126" cm="1">
        <f t="array" aca="1" ref="AE126" ca="1">GetPin_RA8D1_32SD_MIPI</f>
        <v>0</v>
      </c>
      <c r="AF126" cm="1">
        <f t="array" aca="1" ref="AF126" ca="1">GetPin_RA8D1_32SD_MIPI</f>
        <v>0</v>
      </c>
      <c r="AG126" cm="1">
        <f t="array" aca="1" ref="AG126" ca="1">GetPin_RA8D1_32SD_MIPI</f>
        <v>0</v>
      </c>
      <c r="AH126" cm="1">
        <f t="array" aca="1" ref="AH126" ca="1">GetPin_RA8D1_32SD_MIPI</f>
        <v>0</v>
      </c>
      <c r="AI126" cm="1">
        <f t="array" aca="1" ref="AI126" ca="1">GetPin_RA8D1_32SD_MIPI</f>
        <v>0</v>
      </c>
      <c r="AJ126" cm="1">
        <f t="array" aca="1" ref="AJ126" ca="1">GetPin_RA8D1_32SD_MIPI</f>
        <v>0</v>
      </c>
      <c r="AK126" cm="1">
        <f t="array" aca="1" ref="AK126" ca="1">GetPin_RA8D1_32SD_MIPI</f>
        <v>0</v>
      </c>
      <c r="AL126" cm="1">
        <f t="array" aca="1" ref="AL126" ca="1">GetPin_RA8D1_32SD_MIPI</f>
        <v>0</v>
      </c>
      <c r="AM126" cm="1">
        <f t="array" aca="1" ref="AM126" ca="1">GetPin_RA8D1_32SD_MIPI</f>
        <v>0</v>
      </c>
      <c r="AN126" cm="1">
        <f t="array" aca="1" ref="AN126" ca="1">GetPin_RA8D1_32SD_MIPI</f>
        <v>0</v>
      </c>
      <c r="AO126" cm="1">
        <f t="array" aca="1" ref="AO126" ca="1">GetPin_RA8D1_32SD_MIPI</f>
        <v>0</v>
      </c>
      <c r="AP126" cm="1">
        <f t="array" aca="1" ref="AP126" ca="1">GetPin_RA8D1_32SD_MIPI</f>
        <v>0</v>
      </c>
      <c r="AQ126" cm="1">
        <f t="array" aca="1" ref="AQ126" ca="1">GetPin_RA8D1_32SD_MIPI</f>
        <v>0</v>
      </c>
      <c r="AR126" cm="1">
        <f t="array" aca="1" ref="AR126" ca="1">GetPin_RA8D1_32SD_MIPI</f>
        <v>0</v>
      </c>
      <c r="AS126" cm="1">
        <f t="array" aca="1" ref="AS126" ca="1">GetPin_RA8D1_32SD_MIPI</f>
        <v>0</v>
      </c>
      <c r="AT126" cm="1">
        <f t="array" aca="1" ref="AT126" ca="1">GetPin_RA8D1_32SD_MIPI</f>
        <v>0</v>
      </c>
      <c r="AU126" cm="1">
        <f t="array" aca="1" ref="AU126" ca="1">GetPin_RA8D1_32SD_MIPI</f>
        <v>0</v>
      </c>
      <c r="AV126" cm="1">
        <f t="array" aca="1" ref="AV126" ca="1">GetPin_RA8D1_32SD_MIPI</f>
        <v>0</v>
      </c>
      <c r="AW126" cm="1">
        <f t="array" aca="1" ref="AW126" ca="1">GetPin_RA8D1_32SD_MIPI</f>
        <v>0</v>
      </c>
      <c r="AX126" cm="1">
        <f t="array" aca="1" ref="AX126" ca="1">GetPin_RA8D1_32SD_MIPI</f>
        <v>0</v>
      </c>
      <c r="AY126" cm="1">
        <f t="array" aca="1" ref="AY126" ca="1">GetPin_RA8D1_32SD_MIPI</f>
        <v>0</v>
      </c>
      <c r="AZ126" cm="1">
        <f t="array" aca="1" ref="AZ126" ca="1">GetPin_RA8D1_32SD_MIPI</f>
        <v>0</v>
      </c>
      <c r="BA126" cm="1">
        <f t="array" aca="1" ref="BA126" ca="1">GetPin_RA8D1_32SD_MIPI</f>
        <v>0</v>
      </c>
      <c r="BB126" cm="1">
        <f t="array" aca="1" ref="BB126" ca="1">GetPin_RA8D1_32SD_MIPI</f>
        <v>0</v>
      </c>
      <c r="BC126" cm="1">
        <f t="array" aca="1" ref="BC126" ca="1">GetPin_RA8D1_32SD_MIPI</f>
        <v>0</v>
      </c>
      <c r="BD126" cm="1">
        <f t="array" aca="1" ref="BD126" ca="1">GetPin_RA8D1_32SD_MIPI</f>
        <v>0</v>
      </c>
      <c r="BG126">
        <v>153</v>
      </c>
    </row>
    <row r="127" spans="17:59" x14ac:dyDescent="0.25">
      <c r="Q127">
        <f>IF(ISBLANK(BoardBTB!Q127),-1,(COUNTIF(U127:BD127,4)*4+IF(COUNTIF(U127:BD127,2),1,0)*2+IF(COUNTIF(U127:BD127,1),1,0)))</f>
        <v>-1</v>
      </c>
      <c r="R127">
        <f>IF(ISBLANK(BoardBTB!R127),-1,(COUNTIF(U127:BD127,4)*4+IF(COUNTIF(U127:BD127,2),1,0)*2+IF(COUNTIF(U127:BD127,1),1,0)))</f>
        <v>-1</v>
      </c>
      <c r="S127">
        <f>IF(ISBLANK(BoardBTB!S127),-1,(COUNTIF(U127:BD127,4)*4+IF(COUNTIF(U127:BD127,2),1,0)*2+IF(COUNTIF(U127:BD127,1),1,0)))</f>
        <v>-1</v>
      </c>
      <c r="T127">
        <f ca="1">IF(ISBLANK(BoardBTB!T127),-1,(COUNTIF(U127:BD127,4)*4+IF(COUNTIF(U127:BD127,2),1,0)*2+IF(COUNTIF(U127:BD127,1),1,0)))</f>
        <v>0</v>
      </c>
      <c r="U127" cm="1">
        <f t="array" aca="1" ref="U127" ca="1">GetPin_RA8D1_32SD_MIPI</f>
        <v>0</v>
      </c>
      <c r="V127" cm="1">
        <f t="array" aca="1" ref="V127" ca="1">GetPin_RA8D1_32SD_MIPI</f>
        <v>0</v>
      </c>
      <c r="W127" cm="1">
        <f t="array" aca="1" ref="W127" ca="1">GetPin_RA8D1_32SD_MIPI</f>
        <v>0</v>
      </c>
      <c r="X127" cm="1">
        <f t="array" aca="1" ref="X127" ca="1">GetPin_RA8D1_32SD_MIPI</f>
        <v>0</v>
      </c>
      <c r="Y127" cm="1">
        <f t="array" aca="1" ref="Y127" ca="1">GetPin_RA8D1_32SD_MIPI</f>
        <v>0</v>
      </c>
      <c r="Z127" cm="1">
        <f t="array" aca="1" ref="Z127" ca="1">GetPin_RA8D1_32SD_MIPI</f>
        <v>0</v>
      </c>
      <c r="AA127" cm="1">
        <f t="array" aca="1" ref="AA127" ca="1">GetPin_RA8D1_32SD_MIPI</f>
        <v>0</v>
      </c>
      <c r="AB127" cm="1">
        <f t="array" aca="1" ref="AB127" ca="1">GetPin_RA8D1_32SD_MIPI</f>
        <v>0</v>
      </c>
      <c r="AC127" cm="1">
        <f t="array" aca="1" ref="AC127" ca="1">GetPin_RA8D1_32SD_MIPI</f>
        <v>0</v>
      </c>
      <c r="AD127" cm="1">
        <f t="array" aca="1" ref="AD127" ca="1">GetPin_RA8D1_32SD_MIPI</f>
        <v>0</v>
      </c>
      <c r="AE127" cm="1">
        <f t="array" aca="1" ref="AE127" ca="1">GetPin_RA8D1_32SD_MIPI</f>
        <v>0</v>
      </c>
      <c r="AF127" cm="1">
        <f t="array" aca="1" ref="AF127" ca="1">GetPin_RA8D1_32SD_MIPI</f>
        <v>0</v>
      </c>
      <c r="AG127" cm="1">
        <f t="array" aca="1" ref="AG127" ca="1">GetPin_RA8D1_32SD_MIPI</f>
        <v>0</v>
      </c>
      <c r="AH127" cm="1">
        <f t="array" aca="1" ref="AH127" ca="1">GetPin_RA8D1_32SD_MIPI</f>
        <v>0</v>
      </c>
      <c r="AI127" cm="1">
        <f t="array" aca="1" ref="AI127" ca="1">GetPin_RA8D1_32SD_MIPI</f>
        <v>0</v>
      </c>
      <c r="AJ127" cm="1">
        <f t="array" aca="1" ref="AJ127" ca="1">GetPin_RA8D1_32SD_MIPI</f>
        <v>0</v>
      </c>
      <c r="AK127" cm="1">
        <f t="array" aca="1" ref="AK127" ca="1">GetPin_RA8D1_32SD_MIPI</f>
        <v>0</v>
      </c>
      <c r="AL127" cm="1">
        <f t="array" aca="1" ref="AL127" ca="1">GetPin_RA8D1_32SD_MIPI</f>
        <v>0</v>
      </c>
      <c r="AM127" cm="1">
        <f t="array" aca="1" ref="AM127" ca="1">GetPin_RA8D1_32SD_MIPI</f>
        <v>0</v>
      </c>
      <c r="AN127" cm="1">
        <f t="array" aca="1" ref="AN127" ca="1">GetPin_RA8D1_32SD_MIPI</f>
        <v>0</v>
      </c>
      <c r="AO127" cm="1">
        <f t="array" aca="1" ref="AO127" ca="1">GetPin_RA8D1_32SD_MIPI</f>
        <v>0</v>
      </c>
      <c r="AP127" cm="1">
        <f t="array" aca="1" ref="AP127" ca="1">GetPin_RA8D1_32SD_MIPI</f>
        <v>0</v>
      </c>
      <c r="AQ127" cm="1">
        <f t="array" aca="1" ref="AQ127" ca="1">GetPin_RA8D1_32SD_MIPI</f>
        <v>0</v>
      </c>
      <c r="AR127" cm="1">
        <f t="array" aca="1" ref="AR127" ca="1">GetPin_RA8D1_32SD_MIPI</f>
        <v>0</v>
      </c>
      <c r="AS127" cm="1">
        <f t="array" aca="1" ref="AS127" ca="1">GetPin_RA8D1_32SD_MIPI</f>
        <v>0</v>
      </c>
      <c r="AT127" cm="1">
        <f t="array" aca="1" ref="AT127" ca="1">GetPin_RA8D1_32SD_MIPI</f>
        <v>0</v>
      </c>
      <c r="AU127" cm="1">
        <f t="array" aca="1" ref="AU127" ca="1">GetPin_RA8D1_32SD_MIPI</f>
        <v>0</v>
      </c>
      <c r="AV127" cm="1">
        <f t="array" aca="1" ref="AV127" ca="1">GetPin_RA8D1_32SD_MIPI</f>
        <v>0</v>
      </c>
      <c r="AW127" cm="1">
        <f t="array" aca="1" ref="AW127" ca="1">GetPin_RA8D1_32SD_MIPI</f>
        <v>0</v>
      </c>
      <c r="AX127" cm="1">
        <f t="array" aca="1" ref="AX127" ca="1">GetPin_RA8D1_32SD_MIPI</f>
        <v>0</v>
      </c>
      <c r="AY127" cm="1">
        <f t="array" aca="1" ref="AY127" ca="1">GetPin_RA8D1_32SD_MIPI</f>
        <v>0</v>
      </c>
      <c r="AZ127" cm="1">
        <f t="array" aca="1" ref="AZ127" ca="1">GetPin_RA8D1_32SD_MIPI</f>
        <v>0</v>
      </c>
      <c r="BA127" cm="1">
        <f t="array" aca="1" ref="BA127" ca="1">GetPin_RA8D1_32SD_MIPI</f>
        <v>0</v>
      </c>
      <c r="BB127" cm="1">
        <f t="array" aca="1" ref="BB127" ca="1">GetPin_RA8D1_32SD_MIPI</f>
        <v>0</v>
      </c>
      <c r="BC127" cm="1">
        <f t="array" aca="1" ref="BC127" ca="1">GetPin_RA8D1_32SD_MIPI</f>
        <v>0</v>
      </c>
      <c r="BD127" cm="1">
        <f t="array" aca="1" ref="BD127" ca="1">GetPin_RA8D1_32SD_MIPI</f>
        <v>0</v>
      </c>
      <c r="BG127">
        <v>154</v>
      </c>
    </row>
    <row r="128" spans="17:59" x14ac:dyDescent="0.25">
      <c r="Q128">
        <f>IF(ISBLANK(BoardBTB!Q128),-1,(COUNTIF(U128:BD128,4)*4+IF(COUNTIF(U128:BD128,2),1,0)*2+IF(COUNTIF(U128:BD128,1),1,0)))</f>
        <v>-1</v>
      </c>
      <c r="R128">
        <f>IF(ISBLANK(BoardBTB!R128),-1,(COUNTIF(U128:BD128,4)*4+IF(COUNTIF(U128:BD128,2),1,0)*2+IF(COUNTIF(U128:BD128,1),1,0)))</f>
        <v>-1</v>
      </c>
      <c r="S128">
        <f>IF(ISBLANK(BoardBTB!S128),-1,(COUNTIF(U128:BD128,4)*4+IF(COUNTIF(U128:BD128,2),1,0)*2+IF(COUNTIF(U128:BD128,1),1,0)))</f>
        <v>-1</v>
      </c>
      <c r="T128">
        <f ca="1">IF(ISBLANK(BoardBTB!T128),-1,(COUNTIF(U128:BD128,4)*4+IF(COUNTIF(U128:BD128,2),1,0)*2+IF(COUNTIF(U128:BD128,1),1,0)))</f>
        <v>0</v>
      </c>
      <c r="U128" cm="1">
        <f t="array" aca="1" ref="U128" ca="1">GetPin_RA8D1_32SD_MIPI</f>
        <v>0</v>
      </c>
      <c r="V128" cm="1">
        <f t="array" aca="1" ref="V128" ca="1">GetPin_RA8D1_32SD_MIPI</f>
        <v>0</v>
      </c>
      <c r="W128" cm="1">
        <f t="array" aca="1" ref="W128" ca="1">GetPin_RA8D1_32SD_MIPI</f>
        <v>0</v>
      </c>
      <c r="X128" cm="1">
        <f t="array" aca="1" ref="X128" ca="1">GetPin_RA8D1_32SD_MIPI</f>
        <v>0</v>
      </c>
      <c r="Y128" cm="1">
        <f t="array" aca="1" ref="Y128" ca="1">GetPin_RA8D1_32SD_MIPI</f>
        <v>0</v>
      </c>
      <c r="Z128" cm="1">
        <f t="array" aca="1" ref="Z128" ca="1">GetPin_RA8D1_32SD_MIPI</f>
        <v>0</v>
      </c>
      <c r="AA128" cm="1">
        <f t="array" aca="1" ref="AA128" ca="1">GetPin_RA8D1_32SD_MIPI</f>
        <v>0</v>
      </c>
      <c r="AB128" cm="1">
        <f t="array" aca="1" ref="AB128" ca="1">GetPin_RA8D1_32SD_MIPI</f>
        <v>0</v>
      </c>
      <c r="AC128" cm="1">
        <f t="array" aca="1" ref="AC128" ca="1">GetPin_RA8D1_32SD_MIPI</f>
        <v>0</v>
      </c>
      <c r="AD128" cm="1">
        <f t="array" aca="1" ref="AD128" ca="1">GetPin_RA8D1_32SD_MIPI</f>
        <v>0</v>
      </c>
      <c r="AE128" cm="1">
        <f t="array" aca="1" ref="AE128" ca="1">GetPin_RA8D1_32SD_MIPI</f>
        <v>0</v>
      </c>
      <c r="AF128" cm="1">
        <f t="array" aca="1" ref="AF128" ca="1">GetPin_RA8D1_32SD_MIPI</f>
        <v>0</v>
      </c>
      <c r="AG128" cm="1">
        <f t="array" aca="1" ref="AG128" ca="1">GetPin_RA8D1_32SD_MIPI</f>
        <v>0</v>
      </c>
      <c r="AH128" cm="1">
        <f t="array" aca="1" ref="AH128" ca="1">GetPin_RA8D1_32SD_MIPI</f>
        <v>0</v>
      </c>
      <c r="AI128" cm="1">
        <f t="array" aca="1" ref="AI128" ca="1">GetPin_RA8D1_32SD_MIPI</f>
        <v>0</v>
      </c>
      <c r="AJ128" cm="1">
        <f t="array" aca="1" ref="AJ128" ca="1">GetPin_RA8D1_32SD_MIPI</f>
        <v>0</v>
      </c>
      <c r="AK128" cm="1">
        <f t="array" aca="1" ref="AK128" ca="1">GetPin_RA8D1_32SD_MIPI</f>
        <v>0</v>
      </c>
      <c r="AL128" cm="1">
        <f t="array" aca="1" ref="AL128" ca="1">GetPin_RA8D1_32SD_MIPI</f>
        <v>0</v>
      </c>
      <c r="AM128" cm="1">
        <f t="array" aca="1" ref="AM128" ca="1">GetPin_RA8D1_32SD_MIPI</f>
        <v>0</v>
      </c>
      <c r="AN128" cm="1">
        <f t="array" aca="1" ref="AN128" ca="1">GetPin_RA8D1_32SD_MIPI</f>
        <v>0</v>
      </c>
      <c r="AO128" cm="1">
        <f t="array" aca="1" ref="AO128" ca="1">GetPin_RA8D1_32SD_MIPI</f>
        <v>0</v>
      </c>
      <c r="AP128" cm="1">
        <f t="array" aca="1" ref="AP128" ca="1">GetPin_RA8D1_32SD_MIPI</f>
        <v>0</v>
      </c>
      <c r="AQ128" cm="1">
        <f t="array" aca="1" ref="AQ128" ca="1">GetPin_RA8D1_32SD_MIPI</f>
        <v>0</v>
      </c>
      <c r="AR128" cm="1">
        <f t="array" aca="1" ref="AR128" ca="1">GetPin_RA8D1_32SD_MIPI</f>
        <v>0</v>
      </c>
      <c r="AS128" cm="1">
        <f t="array" aca="1" ref="AS128" ca="1">GetPin_RA8D1_32SD_MIPI</f>
        <v>0</v>
      </c>
      <c r="AT128" cm="1">
        <f t="array" aca="1" ref="AT128" ca="1">GetPin_RA8D1_32SD_MIPI</f>
        <v>0</v>
      </c>
      <c r="AU128" cm="1">
        <f t="array" aca="1" ref="AU128" ca="1">GetPin_RA8D1_32SD_MIPI</f>
        <v>0</v>
      </c>
      <c r="AV128" cm="1">
        <f t="array" aca="1" ref="AV128" ca="1">GetPin_RA8D1_32SD_MIPI</f>
        <v>0</v>
      </c>
      <c r="AW128" cm="1">
        <f t="array" aca="1" ref="AW128" ca="1">GetPin_RA8D1_32SD_MIPI</f>
        <v>0</v>
      </c>
      <c r="AX128" cm="1">
        <f t="array" aca="1" ref="AX128" ca="1">GetPin_RA8D1_32SD_MIPI</f>
        <v>0</v>
      </c>
      <c r="AY128" cm="1">
        <f t="array" aca="1" ref="AY128" ca="1">GetPin_RA8D1_32SD_MIPI</f>
        <v>0</v>
      </c>
      <c r="AZ128" cm="1">
        <f t="array" aca="1" ref="AZ128" ca="1">GetPin_RA8D1_32SD_MIPI</f>
        <v>0</v>
      </c>
      <c r="BA128" cm="1">
        <f t="array" aca="1" ref="BA128" ca="1">GetPin_RA8D1_32SD_MIPI</f>
        <v>0</v>
      </c>
      <c r="BB128" cm="1">
        <f t="array" aca="1" ref="BB128" ca="1">GetPin_RA8D1_32SD_MIPI</f>
        <v>0</v>
      </c>
      <c r="BC128" cm="1">
        <f t="array" aca="1" ref="BC128" ca="1">GetPin_RA8D1_32SD_MIPI</f>
        <v>0</v>
      </c>
      <c r="BD128" cm="1">
        <f t="array" aca="1" ref="BD128" ca="1">GetPin_RA8D1_32SD_MIPI</f>
        <v>0</v>
      </c>
      <c r="BG128">
        <v>155</v>
      </c>
    </row>
  </sheetData>
  <sheetProtection selectLockedCells="1" selectUnlockedCells="1"/>
  <autoFilter ref="Q20:BD128" xr:uid="{72E574A8-3E0D-4034-81CB-AE06318C8CE7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BoardBTB</vt:lpstr>
      <vt:lpstr>_Board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Craig Wu</dc:creator>
  <cp:keywords/>
  <dc:description/>
  <cp:lastModifiedBy>Craig Wu</cp:lastModifiedBy>
  <cp:revision/>
  <dcterms:created xsi:type="dcterms:W3CDTF">2015-06-05T18:17:20Z</dcterms:created>
  <dcterms:modified xsi:type="dcterms:W3CDTF">2024-11-07T10:39:20Z</dcterms:modified>
  <cp:category/>
  <cp:contentStatus/>
</cp:coreProperties>
</file>